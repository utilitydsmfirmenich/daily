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6e00994c7059c9c/Documents/"/>
    </mc:Choice>
  </mc:AlternateContent>
  <xr:revisionPtr revIDLastSave="0" documentId="8_{E44E51FB-DD9D-4874-818D-B530D3F542C1}" xr6:coauthVersionLast="47" xr6:coauthVersionMax="47" xr10:uidLastSave="{00000000-0000-0000-0000-000000000000}"/>
  <bookViews>
    <workbookView xWindow="-108" yWindow="-108" windowWidth="23256" windowHeight="12456" activeTab="3" xr2:uid="{839FEE91-4352-4EF6-9893-88774D7F55A0}"/>
  </bookViews>
  <sheets>
    <sheet name="AGSB" sheetId="1" r:id="rId1"/>
    <sheet name="MUKB" sheetId="2" r:id="rId2"/>
    <sheet name="IKJA" sheetId="3" r:id="rId3"/>
    <sheet name="AHIK"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85" i="4" l="1"/>
  <c r="E684" i="4"/>
  <c r="E683" i="4"/>
  <c r="E682" i="4"/>
  <c r="E681" i="4"/>
  <c r="E680" i="4"/>
  <c r="E679" i="4"/>
  <c r="E678" i="4"/>
  <c r="E677" i="4"/>
  <c r="E676" i="4"/>
  <c r="E675" i="4"/>
  <c r="E674" i="4"/>
  <c r="E673" i="4"/>
  <c r="E672" i="4"/>
  <c r="E671" i="4"/>
  <c r="E670" i="4"/>
  <c r="E669" i="4"/>
  <c r="E668" i="4"/>
  <c r="E667" i="4"/>
  <c r="E666" i="4"/>
  <c r="E665" i="4"/>
  <c r="E664" i="4"/>
  <c r="E663" i="4"/>
  <c r="E662" i="4"/>
  <c r="E661" i="4"/>
  <c r="E660" i="4"/>
  <c r="E659" i="4"/>
  <c r="E658" i="4"/>
  <c r="E651" i="4"/>
  <c r="E646" i="4"/>
  <c r="E641" i="4"/>
  <c r="E636" i="4"/>
  <c r="E635" i="4"/>
  <c r="E634" i="4"/>
  <c r="E629" i="4"/>
  <c r="E628" i="4"/>
  <c r="E627" i="4"/>
  <c r="E626" i="4"/>
  <c r="E625" i="4"/>
  <c r="E624" i="4"/>
  <c r="E623" i="4"/>
  <c r="E622" i="4"/>
  <c r="E621" i="4"/>
  <c r="E620" i="4"/>
  <c r="E619" i="4"/>
  <c r="E618" i="4"/>
  <c r="E617" i="4"/>
  <c r="E616" i="4"/>
  <c r="E615" i="4"/>
  <c r="E614" i="4"/>
  <c r="E613" i="4"/>
  <c r="E612" i="4"/>
  <c r="E611" i="4"/>
  <c r="E610" i="4"/>
  <c r="E609" i="4"/>
  <c r="E608" i="4"/>
  <c r="E607" i="4"/>
  <c r="E606" i="4"/>
  <c r="E605" i="4"/>
  <c r="E604" i="4"/>
  <c r="E603" i="4"/>
  <c r="E602" i="4"/>
  <c r="E601" i="4"/>
  <c r="E596" i="4"/>
  <c r="E595" i="4"/>
  <c r="E594" i="4"/>
  <c r="E593" i="4"/>
  <c r="E592" i="4"/>
  <c r="E591" i="4"/>
  <c r="E590" i="4"/>
  <c r="E589" i="4"/>
  <c r="E588" i="4"/>
  <c r="E587" i="4"/>
  <c r="E586" i="4"/>
  <c r="E585" i="4"/>
  <c r="E584" i="4"/>
  <c r="E583" i="4"/>
  <c r="E582" i="4"/>
  <c r="E581" i="4"/>
  <c r="E575" i="4"/>
  <c r="E574" i="4"/>
  <c r="E573" i="4"/>
  <c r="E572" i="4"/>
  <c r="E571" i="4"/>
  <c r="E570" i="4"/>
  <c r="E569" i="4"/>
  <c r="E568" i="4"/>
  <c r="E567" i="4"/>
  <c r="E566" i="4"/>
  <c r="E565" i="4"/>
  <c r="E564" i="4"/>
  <c r="E563" i="4"/>
  <c r="E562" i="4"/>
  <c r="E561" i="4"/>
  <c r="E560" i="4"/>
  <c r="E559" i="4"/>
  <c r="E558" i="4"/>
  <c r="E552" i="4"/>
  <c r="E551" i="4"/>
  <c r="E550" i="4"/>
  <c r="E549" i="4"/>
  <c r="E548" i="4"/>
  <c r="E547" i="4"/>
  <c r="E546" i="4"/>
  <c r="E545" i="4"/>
  <c r="E544" i="4"/>
  <c r="E543" i="4"/>
  <c r="E542" i="4"/>
  <c r="E541" i="4"/>
  <c r="E536" i="4"/>
  <c r="E534" i="4"/>
  <c r="E533" i="4"/>
  <c r="E532" i="4"/>
  <c r="E531" i="4"/>
  <c r="E530" i="4"/>
  <c r="E529" i="4"/>
  <c r="E528" i="4"/>
  <c r="E527" i="4"/>
  <c r="E526" i="4"/>
  <c r="E525" i="4"/>
  <c r="E524" i="4"/>
  <c r="E523" i="4"/>
  <c r="E522" i="4"/>
  <c r="E521" i="4"/>
  <c r="E520" i="4"/>
  <c r="E519" i="4"/>
  <c r="E518" i="4"/>
  <c r="E517" i="4"/>
  <c r="E516" i="4"/>
  <c r="E515" i="4"/>
  <c r="E514" i="4"/>
  <c r="E513" i="4"/>
  <c r="E512" i="4"/>
  <c r="E511" i="4"/>
  <c r="E510" i="4"/>
  <c r="E509" i="4"/>
  <c r="E502" i="4"/>
  <c r="E501" i="4"/>
  <c r="E500" i="4"/>
  <c r="E499" i="4"/>
  <c r="E498" i="4"/>
  <c r="E497" i="4"/>
  <c r="E496" i="4"/>
  <c r="E495" i="4"/>
  <c r="E494" i="4"/>
  <c r="E493" i="4"/>
  <c r="E492" i="4"/>
  <c r="E491" i="4"/>
  <c r="E490" i="4"/>
  <c r="E489" i="4"/>
  <c r="E488" i="4"/>
  <c r="E487" i="4"/>
  <c r="E486" i="4"/>
  <c r="E485" i="4"/>
  <c r="E484" i="4"/>
  <c r="E483" i="4"/>
  <c r="E482" i="4"/>
  <c r="E481" i="4"/>
  <c r="E480" i="4"/>
  <c r="E475" i="4"/>
  <c r="E474" i="4"/>
  <c r="E473" i="4"/>
  <c r="E472" i="4"/>
  <c r="E471" i="4"/>
  <c r="E470" i="4"/>
  <c r="E469" i="4"/>
  <c r="E468" i="4"/>
  <c r="E467" i="4"/>
  <c r="E466" i="4"/>
  <c r="E465" i="4"/>
  <c r="E464" i="4"/>
  <c r="E463" i="4"/>
  <c r="E462" i="4"/>
  <c r="E461" i="4"/>
  <c r="E460" i="4"/>
  <c r="E459" i="4"/>
  <c r="E458" i="4"/>
  <c r="E457" i="4"/>
  <c r="E451" i="4"/>
  <c r="E450" i="4"/>
  <c r="E449" i="4"/>
  <c r="E448" i="4"/>
  <c r="E447" i="4"/>
  <c r="E446" i="4"/>
  <c r="E445" i="4"/>
  <c r="E444" i="4"/>
  <c r="E443" i="4"/>
  <c r="E442" i="4"/>
  <c r="E441" i="4"/>
  <c r="E440" i="4"/>
  <c r="E439" i="4"/>
  <c r="E438" i="4"/>
  <c r="E437" i="4"/>
  <c r="E436" i="4"/>
  <c r="E435" i="4"/>
  <c r="E434" i="4"/>
  <c r="E433" i="4"/>
  <c r="E432" i="4"/>
  <c r="E431" i="4"/>
  <c r="E430" i="4"/>
  <c r="E429" i="4"/>
  <c r="E428" i="4"/>
  <c r="E426" i="4"/>
  <c r="E425" i="4"/>
  <c r="E424" i="4"/>
  <c r="E423" i="4"/>
  <c r="E422" i="4"/>
  <c r="E418" i="4"/>
  <c r="E417" i="4"/>
  <c r="E416" i="4"/>
  <c r="E415" i="4"/>
  <c r="E414" i="4"/>
  <c r="E413" i="4"/>
  <c r="E412" i="4"/>
  <c r="E411" i="4"/>
  <c r="E410" i="4"/>
  <c r="E409" i="4"/>
  <c r="E408" i="4"/>
  <c r="E407" i="4"/>
  <c r="E406" i="4"/>
  <c r="E405" i="4"/>
  <c r="E404" i="4"/>
  <c r="E403" i="4"/>
  <c r="E402" i="4"/>
  <c r="E401" i="4"/>
  <c r="E400" i="4"/>
  <c r="E398" i="4"/>
  <c r="E397" i="4"/>
  <c r="E395" i="4"/>
  <c r="E394" i="4"/>
  <c r="E393" i="4"/>
  <c r="E389" i="4"/>
  <c r="E388" i="4"/>
  <c r="E387" i="4"/>
  <c r="E386" i="4"/>
  <c r="E385" i="4"/>
  <c r="E384" i="4"/>
  <c r="E383" i="4"/>
  <c r="E382" i="4"/>
  <c r="E381" i="4"/>
  <c r="E380" i="4"/>
  <c r="E379" i="4"/>
  <c r="E378" i="4"/>
  <c r="E377" i="4"/>
  <c r="E376" i="4"/>
  <c r="E375" i="4"/>
  <c r="E374" i="4"/>
  <c r="E373" i="4"/>
  <c r="E372" i="4"/>
  <c r="E371" i="4"/>
  <c r="E370" i="4"/>
  <c r="E369" i="4"/>
  <c r="E368" i="4"/>
  <c r="E367" i="4"/>
  <c r="E363" i="4"/>
  <c r="E362" i="4"/>
  <c r="E361" i="4"/>
  <c r="E357" i="4"/>
  <c r="E356" i="4"/>
  <c r="E355" i="4"/>
  <c r="E354" i="4"/>
  <c r="E353" i="4"/>
  <c r="E352" i="4"/>
  <c r="E351" i="4"/>
  <c r="E350" i="4"/>
  <c r="E349" i="4"/>
  <c r="E348" i="4"/>
  <c r="E347" i="4"/>
  <c r="E346" i="4"/>
  <c r="E345" i="4"/>
  <c r="E344" i="4"/>
  <c r="E343" i="4"/>
  <c r="E342" i="4"/>
  <c r="E341" i="4"/>
  <c r="E340" i="4"/>
  <c r="E337" i="4"/>
  <c r="E336" i="4"/>
  <c r="E335" i="4"/>
  <c r="E330" i="4"/>
  <c r="E329" i="4"/>
  <c r="E328" i="4"/>
  <c r="E327" i="4"/>
  <c r="E326" i="4"/>
  <c r="E325" i="4"/>
  <c r="E324" i="4"/>
  <c r="E323" i="4"/>
  <c r="E322" i="4"/>
  <c r="E321" i="4"/>
  <c r="E320" i="4"/>
  <c r="E319" i="4"/>
  <c r="E318" i="4"/>
  <c r="E317" i="4"/>
  <c r="E316" i="4"/>
  <c r="E315" i="4"/>
  <c r="E314" i="4"/>
  <c r="E311" i="4"/>
  <c r="E310" i="4"/>
  <c r="E309" i="4"/>
  <c r="E308"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1" i="4"/>
  <c r="E270" i="4"/>
  <c r="E269" i="4"/>
  <c r="E268" i="4"/>
  <c r="E267" i="4"/>
  <c r="E266" i="4"/>
  <c r="E265" i="4"/>
  <c r="E264" i="4"/>
  <c r="E263" i="4"/>
  <c r="E262" i="4"/>
  <c r="E261" i="4"/>
  <c r="E260" i="4"/>
  <c r="E259" i="4"/>
  <c r="E258" i="4"/>
  <c r="E257" i="4"/>
  <c r="E256" i="4"/>
  <c r="E255" i="4"/>
  <c r="E254" i="4"/>
  <c r="E253" i="4"/>
  <c r="E252" i="4"/>
  <c r="E251"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69" i="4"/>
  <c r="E168" i="4"/>
  <c r="E167" i="4"/>
  <c r="E166" i="4"/>
  <c r="E165" i="4"/>
  <c r="E164" i="4"/>
  <c r="E163" i="4"/>
  <c r="E162" i="4"/>
  <c r="E161" i="4"/>
  <c r="E160" i="4"/>
  <c r="E159" i="4"/>
  <c r="E158" i="4"/>
  <c r="E157" i="4"/>
  <c r="E156" i="4"/>
  <c r="E155" i="4"/>
  <c r="E154" i="4"/>
  <c r="E153" i="4"/>
  <c r="E152" i="4"/>
  <c r="E151" i="4"/>
  <c r="E150" i="4"/>
  <c r="E149" i="4"/>
  <c r="E148" i="4"/>
  <c r="E147" i="4"/>
  <c r="E146" i="4"/>
  <c r="E142" i="4"/>
  <c r="E141" i="4"/>
  <c r="E140" i="4"/>
  <c r="E139" i="4"/>
  <c r="E138" i="4"/>
  <c r="E137" i="4"/>
  <c r="E136" i="4"/>
  <c r="E135" i="4"/>
  <c r="E134" i="4"/>
  <c r="E133" i="4"/>
  <c r="E132" i="4"/>
  <c r="E131" i="4"/>
  <c r="E130" i="4"/>
  <c r="E129" i="4"/>
  <c r="E128" i="4"/>
  <c r="E127" i="4"/>
  <c r="E126" i="4"/>
  <c r="E125" i="4"/>
  <c r="E124" i="4"/>
  <c r="E123" i="4"/>
  <c r="E122" i="4"/>
  <c r="E121"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6" i="4"/>
  <c r="E85" i="4"/>
  <c r="E84" i="4"/>
  <c r="E83" i="4"/>
  <c r="E82" i="4"/>
  <c r="E81" i="4"/>
  <c r="E80" i="4"/>
  <c r="E79" i="4"/>
  <c r="E78" i="4"/>
  <c r="E77" i="4"/>
  <c r="E76" i="4"/>
  <c r="E75" i="4"/>
  <c r="E74" i="4"/>
  <c r="E73" i="4"/>
  <c r="E72" i="4"/>
  <c r="E71" i="4"/>
  <c r="E70" i="4"/>
  <c r="E66" i="4"/>
  <c r="E65" i="4"/>
  <c r="E64" i="4"/>
  <c r="E63" i="4"/>
  <c r="E62" i="4"/>
  <c r="E61" i="4"/>
  <c r="E60" i="4"/>
  <c r="E59" i="4"/>
  <c r="E58" i="4"/>
  <c r="E57" i="4"/>
  <c r="E56" i="4"/>
  <c r="E55" i="4"/>
  <c r="E54" i="4"/>
  <c r="E53" i="4"/>
  <c r="E52" i="4"/>
  <c r="E51" i="4"/>
  <c r="E50" i="4"/>
  <c r="E46" i="4"/>
  <c r="E45" i="4"/>
  <c r="E44" i="4"/>
  <c r="E43" i="4"/>
  <c r="E42" i="4"/>
  <c r="E41" i="4"/>
  <c r="E40" i="4"/>
  <c r="E39" i="4"/>
  <c r="E38" i="4"/>
  <c r="E37" i="4"/>
  <c r="E36" i="4"/>
  <c r="E35" i="4"/>
  <c r="E34" i="4"/>
  <c r="E33" i="4"/>
  <c r="E29" i="4"/>
  <c r="E28" i="4"/>
  <c r="E27" i="4"/>
  <c r="E26" i="4"/>
  <c r="E25" i="4"/>
  <c r="E24" i="4"/>
  <c r="E23" i="4"/>
  <c r="E22" i="4"/>
  <c r="E21" i="4"/>
  <c r="E20" i="4"/>
  <c r="E19" i="4"/>
  <c r="E18" i="4"/>
  <c r="E17" i="4"/>
  <c r="E16" i="4"/>
  <c r="E15" i="4"/>
  <c r="E14" i="4"/>
  <c r="E13" i="4"/>
  <c r="E12" i="4"/>
  <c r="E11" i="4"/>
  <c r="E10" i="4"/>
  <c r="E9" i="4"/>
  <c r="E8" i="4"/>
  <c r="E7" i="4"/>
  <c r="E6" i="4"/>
  <c r="E5" i="4"/>
  <c r="E4" i="4"/>
  <c r="E3" i="4"/>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88" i="3"/>
  <c r="E587" i="3"/>
  <c r="E586" i="3"/>
  <c r="E585" i="3"/>
  <c r="E584" i="3"/>
  <c r="E583" i="3"/>
  <c r="E582" i="3"/>
  <c r="E581" i="3"/>
  <c r="E580" i="3"/>
  <c r="E579" i="3"/>
  <c r="E578" i="3"/>
  <c r="E577" i="3"/>
  <c r="E576" i="3"/>
  <c r="E575" i="3"/>
  <c r="E574" i="3"/>
  <c r="E573" i="3"/>
  <c r="E572" i="3"/>
  <c r="E571" i="3"/>
  <c r="E570" i="3"/>
  <c r="E569"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6" i="3"/>
  <c r="E535" i="3"/>
  <c r="E534" i="3"/>
  <c r="E533" i="3"/>
  <c r="E532" i="3"/>
  <c r="E531" i="3"/>
  <c r="E530" i="3"/>
  <c r="E529" i="3"/>
  <c r="E528" i="3"/>
  <c r="E527" i="3"/>
  <c r="E526" i="3"/>
  <c r="E525" i="3"/>
  <c r="E524" i="3"/>
  <c r="E523" i="3"/>
  <c r="E522" i="3"/>
  <c r="E521" i="3"/>
  <c r="E520" i="3"/>
  <c r="E519" i="3"/>
  <c r="E518" i="3"/>
  <c r="E517" i="3"/>
  <c r="E516" i="3"/>
  <c r="E515" i="3"/>
  <c r="E511" i="3"/>
  <c r="E510" i="3"/>
  <c r="E509" i="3"/>
  <c r="E508" i="3"/>
  <c r="E507" i="3"/>
  <c r="E506" i="3"/>
  <c r="E505" i="3"/>
  <c r="E504" i="3"/>
  <c r="E503" i="3"/>
  <c r="E502" i="3"/>
  <c r="E501" i="3"/>
  <c r="E500" i="3"/>
  <c r="E499" i="3"/>
  <c r="E498" i="3"/>
  <c r="E497" i="3"/>
  <c r="E496" i="3"/>
  <c r="E495" i="3"/>
  <c r="E491" i="3"/>
  <c r="E490" i="3"/>
  <c r="E489" i="3"/>
  <c r="E488" i="3"/>
  <c r="E487" i="3"/>
  <c r="E486" i="3"/>
  <c r="E485" i="3"/>
  <c r="E484" i="3"/>
  <c r="E483" i="3"/>
  <c r="E482" i="3"/>
  <c r="E481" i="3"/>
  <c r="E480" i="3"/>
  <c r="E479" i="3"/>
  <c r="E478" i="3"/>
  <c r="E477" i="3"/>
  <c r="E476" i="3"/>
  <c r="E475" i="3"/>
  <c r="E474" i="3"/>
  <c r="E473" i="3"/>
  <c r="E472" i="3"/>
  <c r="E468" i="3"/>
  <c r="E467" i="3"/>
  <c r="E466" i="3"/>
  <c r="E465" i="3"/>
  <c r="E464" i="3"/>
  <c r="E463" i="3"/>
  <c r="E462" i="3"/>
  <c r="E461" i="3"/>
  <c r="E460" i="3"/>
  <c r="E459" i="3"/>
  <c r="E458" i="3"/>
  <c r="E457" i="3"/>
  <c r="E456" i="3"/>
  <c r="E455" i="3"/>
  <c r="E454" i="3"/>
  <c r="E453" i="3"/>
  <c r="E452" i="3"/>
  <c r="E451" i="3"/>
  <c r="E450" i="3"/>
  <c r="E449" i="3"/>
  <c r="E448" i="3"/>
  <c r="E444" i="3"/>
  <c r="E443" i="3"/>
  <c r="E442" i="3"/>
  <c r="E441" i="3"/>
  <c r="E440" i="3"/>
  <c r="E439" i="3"/>
  <c r="E438" i="3"/>
  <c r="E437" i="3"/>
  <c r="E436" i="3"/>
  <c r="E435" i="3"/>
  <c r="E434" i="3"/>
  <c r="E433" i="3"/>
  <c r="E432" i="3"/>
  <c r="E431" i="3"/>
  <c r="E430" i="3"/>
  <c r="E429" i="3"/>
  <c r="E425" i="3"/>
  <c r="E424" i="3"/>
  <c r="E423" i="3"/>
  <c r="E422" i="3"/>
  <c r="E421" i="3"/>
  <c r="E420" i="3"/>
  <c r="E419" i="3"/>
  <c r="E418" i="3"/>
  <c r="E417" i="3"/>
  <c r="E416" i="3"/>
  <c r="E415" i="3"/>
  <c r="E414" i="3"/>
  <c r="E413" i="3"/>
  <c r="E412" i="3"/>
  <c r="E411" i="3"/>
  <c r="E410" i="3"/>
  <c r="E409" i="3"/>
  <c r="E408" i="3"/>
  <c r="E407" i="3"/>
  <c r="E403" i="3"/>
  <c r="E402" i="3"/>
  <c r="E401" i="3"/>
  <c r="E400" i="3"/>
  <c r="E399" i="3"/>
  <c r="E398" i="3"/>
  <c r="E397" i="3"/>
  <c r="E396" i="3"/>
  <c r="E395" i="3"/>
  <c r="E394" i="3"/>
  <c r="E393" i="3"/>
  <c r="E392" i="3"/>
  <c r="E391" i="3"/>
  <c r="E390" i="3"/>
  <c r="E389" i="3"/>
  <c r="E388" i="3"/>
  <c r="E387" i="3"/>
  <c r="E386" i="3"/>
  <c r="E382" i="3"/>
  <c r="E381" i="3"/>
  <c r="E380" i="3"/>
  <c r="E379" i="3"/>
  <c r="E378" i="3"/>
  <c r="E377" i="3"/>
  <c r="E376" i="3"/>
  <c r="E375" i="3"/>
  <c r="E374" i="3"/>
  <c r="E373" i="3"/>
  <c r="E372" i="3"/>
  <c r="E371" i="3"/>
  <c r="E370" i="3"/>
  <c r="E369" i="3"/>
  <c r="E368" i="3"/>
  <c r="E367" i="3"/>
  <c r="E366"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27" i="3"/>
  <c r="E326" i="3"/>
  <c r="E325" i="3"/>
  <c r="E324" i="3"/>
  <c r="E323" i="3"/>
  <c r="E322" i="3"/>
  <c r="E321" i="3"/>
  <c r="E320" i="3"/>
  <c r="E319" i="3"/>
  <c r="E318" i="3"/>
  <c r="E317" i="3"/>
  <c r="E316" i="3"/>
  <c r="E315" i="3"/>
  <c r="E314" i="3"/>
  <c r="E313" i="3"/>
  <c r="E312" i="3"/>
  <c r="E311" i="3"/>
  <c r="E310" i="3"/>
  <c r="E309" i="3"/>
  <c r="E305" i="3"/>
  <c r="E304" i="3"/>
  <c r="E303" i="3"/>
  <c r="E302" i="3"/>
  <c r="E301" i="3"/>
  <c r="E300" i="3"/>
  <c r="E299" i="3"/>
  <c r="E298" i="3"/>
  <c r="E297" i="3"/>
  <c r="E296" i="3"/>
  <c r="E295" i="3"/>
  <c r="E294" i="3"/>
  <c r="E293" i="3"/>
  <c r="E292" i="3"/>
  <c r="E291" i="3"/>
  <c r="E290" i="3"/>
  <c r="E289" i="3"/>
  <c r="E288" i="3"/>
  <c r="E284" i="3"/>
  <c r="E283" i="3"/>
  <c r="E282" i="3"/>
  <c r="E281" i="3"/>
  <c r="E280" i="3"/>
  <c r="E279" i="3"/>
  <c r="E278" i="3"/>
  <c r="E277" i="3"/>
  <c r="E276" i="3"/>
  <c r="E275" i="3"/>
  <c r="E274" i="3"/>
  <c r="E273" i="3"/>
  <c r="E272" i="3"/>
  <c r="E271" i="3"/>
  <c r="E270" i="3"/>
  <c r="E269" i="3"/>
  <c r="E268" i="3"/>
  <c r="E267" i="3"/>
  <c r="E263" i="3"/>
  <c r="E262" i="3"/>
  <c r="E261" i="3"/>
  <c r="E260" i="3"/>
  <c r="E259" i="3"/>
  <c r="E258" i="3"/>
  <c r="E257" i="3"/>
  <c r="E256" i="3"/>
  <c r="E255" i="3"/>
  <c r="E254" i="3"/>
  <c r="E253" i="3"/>
  <c r="E252" i="3"/>
  <c r="E251" i="3"/>
  <c r="E250" i="3"/>
  <c r="E249" i="3"/>
  <c r="E248" i="3"/>
  <c r="E247" i="3"/>
  <c r="E246" i="3"/>
  <c r="E245" i="3"/>
  <c r="E241" i="3"/>
  <c r="E240" i="3"/>
  <c r="E239" i="3"/>
  <c r="E238" i="3"/>
  <c r="E237" i="3"/>
  <c r="E236" i="3"/>
  <c r="E235" i="3"/>
  <c r="E234" i="3"/>
  <c r="E233" i="3"/>
  <c r="E232" i="3"/>
  <c r="E231" i="3"/>
  <c r="E230" i="3"/>
  <c r="E229" i="3"/>
  <c r="E228" i="3"/>
  <c r="E227" i="3"/>
  <c r="E226" i="3"/>
  <c r="E225" i="3"/>
  <c r="E224" i="3"/>
  <c r="E223" i="3"/>
  <c r="E222" i="3"/>
  <c r="E221" i="3"/>
  <c r="E220" i="3"/>
  <c r="E219"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5" i="3"/>
  <c r="E184" i="3"/>
  <c r="E183" i="3"/>
  <c r="E182" i="3"/>
  <c r="E181" i="3"/>
  <c r="E180" i="3"/>
  <c r="E179" i="3"/>
  <c r="E178" i="3"/>
  <c r="E177" i="3"/>
  <c r="E176" i="3"/>
  <c r="E175" i="3"/>
  <c r="E174" i="3"/>
  <c r="E173" i="3"/>
  <c r="E172" i="3"/>
  <c r="E171" i="3"/>
  <c r="E170" i="3"/>
  <c r="E169" i="3"/>
  <c r="E168" i="3"/>
  <c r="E167" i="3"/>
  <c r="E166" i="3"/>
  <c r="E165" i="3"/>
  <c r="E164" i="3"/>
  <c r="E160" i="3"/>
  <c r="E159" i="3"/>
  <c r="E158" i="3"/>
  <c r="E157" i="3"/>
  <c r="E156" i="3"/>
  <c r="E155" i="3"/>
  <c r="E154" i="3"/>
  <c r="E153" i="3"/>
  <c r="E152" i="3"/>
  <c r="E151" i="3"/>
  <c r="E150" i="3"/>
  <c r="E149" i="3"/>
  <c r="E148" i="3"/>
  <c r="E147" i="3"/>
  <c r="E146" i="3"/>
  <c r="E142" i="3"/>
  <c r="E141" i="3"/>
  <c r="E140" i="3"/>
  <c r="E139" i="3"/>
  <c r="E138" i="3"/>
  <c r="E137" i="3"/>
  <c r="E136" i="3"/>
  <c r="E135" i="3"/>
  <c r="E134" i="3"/>
  <c r="E133" i="3"/>
  <c r="E132" i="3"/>
  <c r="E131" i="3"/>
  <c r="E130" i="3"/>
  <c r="E129" i="3"/>
  <c r="E128" i="3"/>
  <c r="E127" i="3"/>
  <c r="E126" i="3"/>
  <c r="E125" i="3"/>
  <c r="E124" i="3"/>
  <c r="E123" i="3"/>
  <c r="E119" i="3"/>
  <c r="E118" i="3"/>
  <c r="E117" i="3"/>
  <c r="E116" i="3"/>
  <c r="E115" i="3"/>
  <c r="E114" i="3"/>
  <c r="E113" i="3"/>
  <c r="E112" i="3"/>
  <c r="E111" i="3"/>
  <c r="E110" i="3"/>
  <c r="E109" i="3"/>
  <c r="E108" i="3"/>
  <c r="E107" i="3"/>
  <c r="E106" i="3"/>
  <c r="E105" i="3"/>
  <c r="E104" i="3"/>
  <c r="E103" i="3"/>
  <c r="E102" i="3"/>
  <c r="E101" i="3"/>
  <c r="E100" i="3"/>
  <c r="E99" i="3"/>
  <c r="E98" i="3"/>
  <c r="E94" i="3"/>
  <c r="E93" i="3"/>
  <c r="E92" i="3"/>
  <c r="E91" i="3"/>
  <c r="E90" i="3"/>
  <c r="E89" i="3"/>
  <c r="E88" i="3"/>
  <c r="E87" i="3"/>
  <c r="E86" i="3"/>
  <c r="E85" i="3"/>
  <c r="E84" i="3"/>
  <c r="E83" i="3"/>
  <c r="E82" i="3"/>
  <c r="E81" i="3"/>
  <c r="E80" i="3"/>
  <c r="E79" i="3"/>
  <c r="E78" i="3"/>
  <c r="E77" i="3"/>
  <c r="E76" i="3"/>
  <c r="E75" i="3"/>
  <c r="E74" i="3"/>
  <c r="E73" i="3"/>
  <c r="E69" i="3"/>
  <c r="E68" i="3"/>
  <c r="E67" i="3"/>
  <c r="E66" i="3"/>
  <c r="E65" i="3"/>
  <c r="E64" i="3"/>
  <c r="E63" i="3"/>
  <c r="E62" i="3"/>
  <c r="E61" i="3"/>
  <c r="E60" i="3"/>
  <c r="E59" i="3"/>
  <c r="E58" i="3"/>
  <c r="E57" i="3"/>
  <c r="E56" i="3"/>
  <c r="E55" i="3"/>
  <c r="E54" i="3"/>
  <c r="E53" i="3"/>
  <c r="E52" i="3"/>
  <c r="E51" i="3"/>
  <c r="E50" i="3"/>
  <c r="E49" i="3"/>
  <c r="E48" i="3"/>
  <c r="E47" i="3"/>
  <c r="E43" i="3"/>
  <c r="E42" i="3"/>
  <c r="E41" i="3"/>
  <c r="E40" i="3"/>
  <c r="E39" i="3"/>
  <c r="E38" i="3"/>
  <c r="E37" i="3"/>
  <c r="E36" i="3"/>
  <c r="E35" i="3"/>
  <c r="E34" i="3"/>
  <c r="E33" i="3"/>
  <c r="E32" i="3"/>
  <c r="E31" i="3"/>
  <c r="E30" i="3"/>
  <c r="E29" i="3"/>
  <c r="E28" i="3"/>
  <c r="E27" i="3"/>
  <c r="E26" i="3"/>
  <c r="E25" i="3"/>
  <c r="E24" i="3"/>
  <c r="E20" i="3"/>
  <c r="E19" i="3"/>
  <c r="E18" i="3"/>
  <c r="E17" i="3"/>
  <c r="E16" i="3"/>
  <c r="E15" i="3"/>
  <c r="E14" i="3"/>
  <c r="E13" i="3"/>
  <c r="E12" i="3"/>
  <c r="E11" i="3"/>
  <c r="E10" i="3"/>
  <c r="E9" i="3"/>
  <c r="E8" i="3"/>
  <c r="E7" i="3"/>
  <c r="E6" i="3"/>
  <c r="E5" i="3"/>
  <c r="E4" i="3"/>
  <c r="E3" i="3"/>
  <c r="E794" i="2"/>
  <c r="E793" i="2"/>
  <c r="E792" i="2"/>
  <c r="E791" i="2"/>
  <c r="E790" i="2"/>
  <c r="E789" i="2"/>
  <c r="E788" i="2"/>
  <c r="E787" i="2"/>
  <c r="E786" i="2"/>
  <c r="E785" i="2"/>
  <c r="E784" i="2"/>
  <c r="E783" i="2"/>
  <c r="E782" i="2"/>
  <c r="E781" i="2"/>
  <c r="E780" i="2"/>
  <c r="E779" i="2"/>
  <c r="E778" i="2"/>
  <c r="E777" i="2"/>
  <c r="E776" i="2"/>
  <c r="E775" i="2"/>
  <c r="E774" i="2"/>
  <c r="E773" i="2"/>
  <c r="E768" i="2"/>
  <c r="E767" i="2"/>
  <c r="E766" i="2"/>
  <c r="E765" i="2"/>
  <c r="E764" i="2"/>
  <c r="E763" i="2"/>
  <c r="E762" i="2"/>
  <c r="E761" i="2"/>
  <c r="E760" i="2"/>
  <c r="E759" i="2"/>
  <c r="E758" i="2"/>
  <c r="E757" i="2"/>
  <c r="E756" i="2"/>
  <c r="E755" i="2"/>
  <c r="E754" i="2"/>
  <c r="E753" i="2"/>
  <c r="E752" i="2"/>
  <c r="E751" i="2"/>
  <c r="E747" i="2"/>
  <c r="E746" i="2"/>
  <c r="E745" i="2"/>
  <c r="E744" i="2"/>
  <c r="E743" i="2"/>
  <c r="E742" i="2"/>
  <c r="E741" i="2"/>
  <c r="E740" i="2"/>
  <c r="E739" i="2"/>
  <c r="E738" i="2"/>
  <c r="E737" i="2"/>
  <c r="E736"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0" i="2"/>
  <c r="E669" i="2"/>
  <c r="E668" i="2"/>
  <c r="E667" i="2"/>
  <c r="E666" i="2"/>
  <c r="E665" i="2"/>
  <c r="E664" i="2"/>
  <c r="E663" i="2"/>
  <c r="E662" i="2"/>
  <c r="E661" i="2"/>
  <c r="E660" i="2"/>
  <c r="E659" i="2"/>
  <c r="E658" i="2"/>
  <c r="E657" i="2"/>
  <c r="E656" i="2"/>
  <c r="E655" i="2"/>
  <c r="E654" i="2"/>
  <c r="E653" i="2"/>
  <c r="E652" i="2"/>
  <c r="E651" i="2"/>
  <c r="E645" i="2"/>
  <c r="E644" i="2"/>
  <c r="E643" i="2"/>
  <c r="E642" i="2"/>
  <c r="E641" i="2"/>
  <c r="E640" i="2"/>
  <c r="E639" i="2"/>
  <c r="E638" i="2"/>
  <c r="E637" i="2"/>
  <c r="E636" i="2"/>
  <c r="E635" i="2"/>
  <c r="E634" i="2"/>
  <c r="E633" i="2"/>
  <c r="E632" i="2"/>
  <c r="E631" i="2"/>
  <c r="E630" i="2"/>
  <c r="E629" i="2"/>
  <c r="E628" i="2"/>
  <c r="E627" i="2"/>
  <c r="E626" i="2"/>
  <c r="E625" i="2"/>
  <c r="E624" i="2"/>
  <c r="E623" i="2"/>
  <c r="E619" i="2"/>
  <c r="E618" i="2"/>
  <c r="E617" i="2"/>
  <c r="E616" i="2"/>
  <c r="E615" i="2"/>
  <c r="E614" i="2"/>
  <c r="E613" i="2"/>
  <c r="E612" i="2"/>
  <c r="E611" i="2"/>
  <c r="E610" i="2"/>
  <c r="E609" i="2"/>
  <c r="E608" i="2"/>
  <c r="E607" i="2"/>
  <c r="E606" i="2"/>
  <c r="E605" i="2"/>
  <c r="E604" i="2"/>
  <c r="E603" i="2"/>
  <c r="E602"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5" i="2"/>
  <c r="E474" i="2"/>
  <c r="E473" i="2"/>
  <c r="E472" i="2"/>
  <c r="E471" i="2"/>
  <c r="E470" i="2"/>
  <c r="E469" i="2"/>
  <c r="E468" i="2"/>
  <c r="E467" i="2"/>
  <c r="E466" i="2"/>
  <c r="E465" i="2"/>
  <c r="E464" i="2"/>
  <c r="E463" i="2"/>
  <c r="E462" i="2"/>
  <c r="E461" i="2"/>
  <c r="E460" i="2"/>
  <c r="E459" i="2"/>
  <c r="E458" i="2"/>
  <c r="E457" i="2"/>
  <c r="E456" i="2"/>
  <c r="E455" i="2"/>
  <c r="E454" i="2"/>
  <c r="E453" i="2"/>
  <c r="E452"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2" i="2"/>
  <c r="E411" i="2"/>
  <c r="E410" i="2"/>
  <c r="E409" i="2"/>
  <c r="E408" i="2"/>
  <c r="E407" i="2"/>
  <c r="E406" i="2"/>
  <c r="E405" i="2"/>
  <c r="E404" i="2"/>
  <c r="E403" i="2"/>
  <c r="E402" i="2"/>
  <c r="E401" i="2"/>
  <c r="E400" i="2"/>
  <c r="E399" i="2"/>
  <c r="E398" i="2"/>
  <c r="E394" i="2"/>
  <c r="E393" i="2"/>
  <c r="E392" i="2"/>
  <c r="E391" i="2"/>
  <c r="E390" i="2"/>
  <c r="E389" i="2"/>
  <c r="E388" i="2"/>
  <c r="E387" i="2"/>
  <c r="E386" i="2"/>
  <c r="E385" i="2"/>
  <c r="E384" i="2"/>
  <c r="E383" i="2"/>
  <c r="E382" i="2"/>
  <c r="E381" i="2"/>
  <c r="E380" i="2"/>
  <c r="E379" i="2"/>
  <c r="E378" i="2"/>
  <c r="E377" i="2"/>
  <c r="E376" i="2"/>
  <c r="E375" i="2"/>
  <c r="E371" i="2"/>
  <c r="E370" i="2"/>
  <c r="E369" i="2"/>
  <c r="E368" i="2"/>
  <c r="E367" i="2"/>
  <c r="E366" i="2"/>
  <c r="E365" i="2"/>
  <c r="E364" i="2"/>
  <c r="E363" i="2"/>
  <c r="E362" i="2"/>
  <c r="E361" i="2"/>
  <c r="E360" i="2"/>
  <c r="E359" i="2"/>
  <c r="E358" i="2"/>
  <c r="E357" i="2"/>
  <c r="E356" i="2"/>
  <c r="E352" i="2"/>
  <c r="E351" i="2"/>
  <c r="E350" i="2"/>
  <c r="E349" i="2"/>
  <c r="E348" i="2"/>
  <c r="E347" i="2"/>
  <c r="E346" i="2"/>
  <c r="E345" i="2"/>
  <c r="E344" i="2"/>
  <c r="E343" i="2"/>
  <c r="E342" i="2"/>
  <c r="E341" i="2"/>
  <c r="E340" i="2"/>
  <c r="E339" i="2"/>
  <c r="E338" i="2"/>
  <c r="E337" i="2"/>
  <c r="E333" i="2"/>
  <c r="E332" i="2"/>
  <c r="E331" i="2"/>
  <c r="E330" i="2"/>
  <c r="E329" i="2"/>
  <c r="E328" i="2"/>
  <c r="E327" i="2"/>
  <c r="E326" i="2"/>
  <c r="E325" i="2"/>
  <c r="E324" i="2"/>
  <c r="E323" i="2"/>
  <c r="E322" i="2"/>
  <c r="E321" i="2"/>
  <c r="E320" i="2"/>
  <c r="E319" i="2"/>
  <c r="E318" i="2"/>
  <c r="E317" i="2"/>
  <c r="E316" i="2"/>
  <c r="E315" i="2"/>
  <c r="E311" i="2"/>
  <c r="E310" i="2"/>
  <c r="E309" i="2"/>
  <c r="E308" i="2"/>
  <c r="E307" i="2"/>
  <c r="E306" i="2"/>
  <c r="E305" i="2"/>
  <c r="E304" i="2"/>
  <c r="E303" i="2"/>
  <c r="E302" i="2"/>
  <c r="E301" i="2"/>
  <c r="E300" i="2"/>
  <c r="E299" i="2"/>
  <c r="E298" i="2"/>
  <c r="E297" i="2"/>
  <c r="E296" i="2"/>
  <c r="E295" i="2"/>
  <c r="E294" i="2"/>
  <c r="E293" i="2"/>
  <c r="E287" i="2"/>
  <c r="E286" i="2"/>
  <c r="E285" i="2"/>
  <c r="E284" i="2"/>
  <c r="E283" i="2"/>
  <c r="E282" i="2"/>
  <c r="E281" i="2"/>
  <c r="E280" i="2"/>
  <c r="E279" i="2"/>
  <c r="E278" i="2"/>
  <c r="E277" i="2"/>
  <c r="E276" i="2"/>
  <c r="E275" i="2"/>
  <c r="E274" i="2"/>
  <c r="E273" i="2"/>
  <c r="E272" i="2"/>
  <c r="E271" i="2"/>
  <c r="E270" i="2"/>
  <c r="E269" i="2"/>
  <c r="E268" i="2"/>
  <c r="E267" i="2"/>
  <c r="E266" i="2"/>
  <c r="E265" i="2"/>
  <c r="E261" i="2"/>
  <c r="E260" i="2"/>
  <c r="E259" i="2"/>
  <c r="E258" i="2"/>
  <c r="E257" i="2"/>
  <c r="E256" i="2"/>
  <c r="E255" i="2"/>
  <c r="E254" i="2"/>
  <c r="E253" i="2"/>
  <c r="E252" i="2"/>
  <c r="E251" i="2"/>
  <c r="E250" i="2"/>
  <c r="E249" i="2"/>
  <c r="E248" i="2"/>
  <c r="E247" i="2"/>
  <c r="E246" i="2"/>
  <c r="E245" i="2"/>
  <c r="E244" i="2"/>
  <c r="E243" i="2"/>
  <c r="E242" i="2"/>
  <c r="E238" i="2"/>
  <c r="E237" i="2"/>
  <c r="E236" i="2"/>
  <c r="E235" i="2"/>
  <c r="E234" i="2"/>
  <c r="E233" i="2"/>
  <c r="E232" i="2"/>
  <c r="E231" i="2"/>
  <c r="E230" i="2"/>
  <c r="E229" i="2"/>
  <c r="E228" i="2"/>
  <c r="E227" i="2"/>
  <c r="E226" i="2"/>
  <c r="E225" i="2"/>
  <c r="E224" i="2"/>
  <c r="E223"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1" i="2"/>
  <c r="E190" i="2"/>
  <c r="E189" i="2"/>
  <c r="E188" i="2"/>
  <c r="E187" i="2"/>
  <c r="E186" i="2"/>
  <c r="E185" i="2"/>
  <c r="E184" i="2"/>
  <c r="E183" i="2"/>
  <c r="E182" i="2"/>
  <c r="E181" i="2"/>
  <c r="E180" i="2"/>
  <c r="E179" i="2"/>
  <c r="E178" i="2"/>
  <c r="E177" i="2"/>
  <c r="E176" i="2"/>
  <c r="E175" i="2"/>
  <c r="E174" i="2"/>
  <c r="E173" i="2"/>
  <c r="E172" i="2"/>
  <c r="E171" i="2"/>
  <c r="E170" i="2"/>
  <c r="E164" i="2"/>
  <c r="E163" i="2"/>
  <c r="E162" i="2"/>
  <c r="E160" i="2"/>
  <c r="E159" i="2"/>
  <c r="E158" i="2"/>
  <c r="E157" i="2"/>
  <c r="E156" i="2"/>
  <c r="E155" i="2"/>
  <c r="E154" i="2"/>
  <c r="E153" i="2"/>
  <c r="E152" i="2"/>
  <c r="E151" i="2"/>
  <c r="E150" i="2"/>
  <c r="E149" i="2"/>
  <c r="E148" i="2"/>
  <c r="E147" i="2"/>
  <c r="E146" i="2"/>
  <c r="E145" i="2"/>
  <c r="E144" i="2"/>
  <c r="E143" i="2"/>
  <c r="E139" i="2"/>
  <c r="E138" i="2"/>
  <c r="E137" i="2"/>
  <c r="E136" i="2"/>
  <c r="E135" i="2"/>
  <c r="E134" i="2"/>
  <c r="E133" i="2"/>
  <c r="E132" i="2"/>
  <c r="E131" i="2"/>
  <c r="E130" i="2"/>
  <c r="E129" i="2"/>
  <c r="E128" i="2"/>
  <c r="E127" i="2"/>
  <c r="E126" i="2"/>
  <c r="E125" i="2"/>
  <c r="E124" i="2"/>
  <c r="E123" i="2"/>
  <c r="E122" i="2"/>
  <c r="E121" i="2"/>
  <c r="E120" i="2"/>
  <c r="E119" i="2"/>
  <c r="E118"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4" i="2"/>
  <c r="E83" i="2"/>
  <c r="E82" i="2"/>
  <c r="E81" i="2"/>
  <c r="E80" i="2"/>
  <c r="E79" i="2"/>
  <c r="E78" i="2"/>
  <c r="E77" i="2"/>
  <c r="E76" i="2"/>
  <c r="E75" i="2"/>
  <c r="E74" i="2"/>
  <c r="E73" i="2"/>
  <c r="E72" i="2"/>
  <c r="E71" i="2"/>
  <c r="E70" i="2"/>
  <c r="E69" i="2"/>
  <c r="E68" i="2"/>
  <c r="E67" i="2"/>
  <c r="E66" i="2"/>
  <c r="E65" i="2"/>
  <c r="E64" i="2"/>
  <c r="E63" i="2"/>
  <c r="E62"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5" i="2"/>
  <c r="E24" i="2"/>
  <c r="E23" i="2"/>
  <c r="E22" i="2"/>
  <c r="E21" i="2"/>
  <c r="E20" i="2"/>
  <c r="E19" i="2"/>
  <c r="E18" i="2"/>
  <c r="E17" i="2"/>
  <c r="E16" i="2"/>
  <c r="E15" i="2"/>
  <c r="E14" i="2"/>
  <c r="E13" i="2"/>
  <c r="E12" i="2"/>
  <c r="E11" i="2"/>
  <c r="E10" i="2"/>
  <c r="E9" i="2"/>
  <c r="E8" i="2"/>
  <c r="E7" i="2"/>
  <c r="E6" i="2"/>
  <c r="E5" i="2"/>
  <c r="E4" i="2"/>
  <c r="D227" i="1"/>
  <c r="E227" i="1" s="1"/>
  <c r="D226" i="1"/>
  <c r="E226" i="1" s="1"/>
  <c r="D225" i="1"/>
  <c r="E225" i="1" s="1"/>
  <c r="D224" i="1"/>
  <c r="E224" i="1" s="1"/>
  <c r="E223" i="1"/>
  <c r="D223" i="1"/>
  <c r="E222" i="1"/>
  <c r="D222" i="1"/>
  <c r="E221" i="1"/>
  <c r="D221" i="1"/>
  <c r="D220" i="1"/>
  <c r="E220" i="1" s="1"/>
  <c r="E219" i="1"/>
  <c r="D219" i="1"/>
  <c r="E218" i="1"/>
  <c r="D218" i="1"/>
  <c r="E217" i="1"/>
  <c r="D217" i="1"/>
  <c r="D216" i="1"/>
  <c r="E216" i="1" s="1"/>
  <c r="E215" i="1"/>
  <c r="D215" i="1"/>
  <c r="E214" i="1"/>
  <c r="D214" i="1"/>
  <c r="E210" i="1"/>
  <c r="E209" i="1"/>
  <c r="D209" i="1"/>
  <c r="D208" i="1"/>
  <c r="E208" i="1" s="1"/>
  <c r="D207" i="1"/>
  <c r="E207" i="1" s="1"/>
  <c r="D206" i="1"/>
  <c r="E206" i="1" s="1"/>
  <c r="E205" i="1"/>
  <c r="D205" i="1"/>
  <c r="D204" i="1"/>
  <c r="E204" i="1" s="1"/>
  <c r="D203" i="1"/>
  <c r="E203" i="1" s="1"/>
  <c r="D202" i="1"/>
  <c r="E202" i="1" s="1"/>
  <c r="E201" i="1"/>
  <c r="D201" i="1"/>
  <c r="D200" i="1"/>
  <c r="E200" i="1" s="1"/>
  <c r="D199" i="1"/>
  <c r="E199" i="1" s="1"/>
  <c r="E195" i="1"/>
  <c r="E194" i="1"/>
  <c r="D194" i="1"/>
  <c r="D193" i="1"/>
  <c r="E193" i="1" s="1"/>
  <c r="E192" i="1"/>
  <c r="D192" i="1"/>
  <c r="E191" i="1"/>
  <c r="D191" i="1"/>
  <c r="E190" i="1"/>
  <c r="D190" i="1"/>
  <c r="D189" i="1"/>
  <c r="E189" i="1" s="1"/>
  <c r="E188" i="1"/>
  <c r="D188" i="1"/>
  <c r="E187" i="1"/>
  <c r="D187" i="1"/>
  <c r="E186" i="1"/>
  <c r="D186" i="1"/>
  <c r="D185" i="1"/>
  <c r="E185" i="1" s="1"/>
  <c r="E184" i="1"/>
  <c r="D184" i="1"/>
  <c r="E179" i="1"/>
  <c r="D178" i="1"/>
  <c r="E178" i="1" s="1"/>
  <c r="E177" i="1"/>
  <c r="D177" i="1"/>
  <c r="D176" i="1"/>
  <c r="E176" i="1" s="1"/>
  <c r="D175" i="1"/>
  <c r="E175" i="1" s="1"/>
  <c r="D174" i="1"/>
  <c r="E174" i="1" s="1"/>
  <c r="E173" i="1"/>
  <c r="D173" i="1"/>
  <c r="D172" i="1"/>
  <c r="E172" i="1" s="1"/>
  <c r="D171" i="1"/>
  <c r="E171" i="1" s="1"/>
  <c r="D170" i="1"/>
  <c r="E170" i="1" s="1"/>
  <c r="E169" i="1"/>
  <c r="D169" i="1"/>
  <c r="D168" i="1"/>
  <c r="E168" i="1" s="1"/>
  <c r="D167" i="1"/>
  <c r="E167" i="1" s="1"/>
  <c r="E163" i="1"/>
  <c r="E162" i="1"/>
  <c r="D162" i="1"/>
  <c r="D161" i="1"/>
  <c r="E161" i="1" s="1"/>
  <c r="E160" i="1"/>
  <c r="D160" i="1"/>
  <c r="E159" i="1"/>
  <c r="D159" i="1"/>
  <c r="E158" i="1"/>
  <c r="D158" i="1"/>
  <c r="D157" i="1"/>
  <c r="E157" i="1" s="1"/>
  <c r="E156" i="1"/>
  <c r="D156" i="1"/>
  <c r="E155" i="1"/>
  <c r="D155" i="1"/>
  <c r="E154" i="1"/>
  <c r="D154" i="1"/>
  <c r="D153" i="1"/>
  <c r="E153" i="1" s="1"/>
  <c r="E152" i="1"/>
  <c r="D152" i="1"/>
  <c r="E151" i="1"/>
  <c r="D151" i="1"/>
  <c r="E147" i="1"/>
  <c r="E146" i="1"/>
  <c r="D146" i="1"/>
  <c r="D145" i="1"/>
  <c r="E145" i="1" s="1"/>
  <c r="D144" i="1"/>
  <c r="E144" i="1" s="1"/>
  <c r="D143" i="1"/>
  <c r="E143" i="1" s="1"/>
  <c r="E142" i="1"/>
  <c r="D142" i="1"/>
  <c r="D141" i="1"/>
  <c r="E141" i="1" s="1"/>
  <c r="D140" i="1"/>
  <c r="E140" i="1" s="1"/>
  <c r="D139" i="1"/>
  <c r="E139" i="1" s="1"/>
  <c r="E138" i="1"/>
  <c r="D138" i="1"/>
  <c r="D137" i="1"/>
  <c r="E137" i="1" s="1"/>
  <c r="D136" i="1"/>
  <c r="E136" i="1" s="1"/>
  <c r="D135" i="1"/>
  <c r="E135" i="1" s="1"/>
  <c r="E131" i="1"/>
  <c r="D130" i="1"/>
  <c r="E130" i="1" s="1"/>
  <c r="E129" i="1"/>
  <c r="D129" i="1"/>
  <c r="E128" i="1"/>
  <c r="D128" i="1"/>
  <c r="E127" i="1"/>
  <c r="D127" i="1"/>
  <c r="D126" i="1"/>
  <c r="E126" i="1" s="1"/>
  <c r="E125" i="1"/>
  <c r="D125" i="1"/>
  <c r="E124" i="1"/>
  <c r="D124" i="1"/>
  <c r="E123" i="1"/>
  <c r="D123" i="1"/>
  <c r="D122" i="1"/>
  <c r="E122" i="1" s="1"/>
  <c r="E121" i="1"/>
  <c r="D121" i="1"/>
  <c r="E120" i="1"/>
  <c r="D120" i="1"/>
  <c r="E119" i="1"/>
  <c r="D119" i="1"/>
  <c r="D118" i="1"/>
  <c r="E118" i="1" s="1"/>
  <c r="E117" i="1"/>
  <c r="D117" i="1"/>
  <c r="E113" i="1"/>
  <c r="E112" i="1"/>
  <c r="E111" i="1"/>
  <c r="E110" i="1"/>
  <c r="E109" i="1"/>
  <c r="E108" i="1"/>
  <c r="E107" i="1"/>
  <c r="E106" i="1"/>
  <c r="E105" i="1"/>
  <c r="E104" i="1"/>
  <c r="E103" i="1"/>
  <c r="E102" i="1"/>
  <c r="E101" i="1"/>
  <c r="E100" i="1"/>
  <c r="E93" i="1"/>
  <c r="E92" i="1"/>
  <c r="E91" i="1"/>
  <c r="E90" i="1"/>
  <c r="E89" i="1"/>
  <c r="E88" i="1"/>
  <c r="E87" i="1"/>
  <c r="E86" i="1"/>
  <c r="E85" i="1"/>
  <c r="E84" i="1"/>
  <c r="E83" i="1"/>
  <c r="E82" i="1"/>
  <c r="E81" i="1"/>
  <c r="E80" i="1"/>
  <c r="E79" i="1"/>
  <c r="E78" i="1"/>
  <c r="E77" i="1"/>
  <c r="E76" i="1"/>
  <c r="E75" i="1"/>
  <c r="E71" i="1"/>
  <c r="E70" i="1"/>
  <c r="E66" i="1"/>
  <c r="E65" i="1"/>
  <c r="E61" i="1"/>
  <c r="E60" i="1"/>
  <c r="E59" i="1"/>
  <c r="E58" i="1"/>
  <c r="E57" i="1"/>
  <c r="E56" i="1"/>
  <c r="E55" i="1"/>
  <c r="E54" i="1"/>
  <c r="E53" i="1"/>
  <c r="E52" i="1"/>
  <c r="E51" i="1"/>
  <c r="E50" i="1"/>
  <c r="E49" i="1"/>
  <c r="E48" i="1"/>
  <c r="E47" i="1"/>
  <c r="E46" i="1"/>
  <c r="E45" i="1"/>
  <c r="E44" i="1"/>
  <c r="E43" i="1"/>
  <c r="E42" i="1"/>
  <c r="E41" i="1"/>
  <c r="E40" i="1"/>
  <c r="E39" i="1"/>
  <c r="E38" i="1"/>
  <c r="E37" i="1"/>
  <c r="E36"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alcChain>
</file>

<file path=xl/sharedStrings.xml><?xml version="1.0" encoding="utf-8"?>
<sst xmlns="http://schemas.openxmlformats.org/spreadsheetml/2006/main" count="8485" uniqueCount="1500">
  <si>
    <t>WEEK 1 SHIFT 1</t>
  </si>
  <si>
    <t>Tanggal</t>
  </si>
  <si>
    <t>Hari</t>
  </si>
  <si>
    <t>Waktu</t>
  </si>
  <si>
    <t>Waktu Total</t>
  </si>
  <si>
    <t>Man Power</t>
  </si>
  <si>
    <t>Kegiatan</t>
  </si>
  <si>
    <t>Kategori Pekerjaan</t>
  </si>
  <si>
    <t>Keterangan</t>
  </si>
  <si>
    <t>Start</t>
  </si>
  <si>
    <t>Finish</t>
  </si>
  <si>
    <t>30/06/2025</t>
  </si>
  <si>
    <t>Senin</t>
  </si>
  <si>
    <t>AGSB</t>
  </si>
  <si>
    <t>Briefing pagi</t>
  </si>
  <si>
    <t>Briefing</t>
  </si>
  <si>
    <t>laporan pekerjaan</t>
  </si>
  <si>
    <t>Berjalan ke produksi PNB</t>
  </si>
  <si>
    <t>Berjalan</t>
  </si>
  <si>
    <t>DPG transfer tidak ready</t>
  </si>
  <si>
    <t>troubleshoot safety relay not on</t>
  </si>
  <si>
    <t>Troubleshoot</t>
  </si>
  <si>
    <t>Berjalan ke office</t>
  </si>
  <si>
    <t> </t>
  </si>
  <si>
    <t>cek inbox email, pengajuan spare part, schedule calendar</t>
  </si>
  <si>
    <t>Administratif</t>
  </si>
  <si>
    <t>approval spare part</t>
  </si>
  <si>
    <t>follow up vendor untuk perbaikan blower STP</t>
  </si>
  <si>
    <t>approval permit DSS</t>
  </si>
  <si>
    <t>update report weekly utility</t>
  </si>
  <si>
    <t>update progress SME</t>
  </si>
  <si>
    <t>weekly meeting E&amp;M</t>
  </si>
  <si>
    <t>Meeting</t>
  </si>
  <si>
    <t>follow up vendor Fotric leak detector</t>
  </si>
  <si>
    <t>alat masih baru, belum ad demo</t>
  </si>
  <si>
    <t>break</t>
  </si>
  <si>
    <t>istirahat</t>
  </si>
  <si>
    <t>cek project WH</t>
  </si>
  <si>
    <t>Supervisi</t>
  </si>
  <si>
    <t>Berjalan ke gudang 2</t>
  </si>
  <si>
    <t>penerimaan barang jerycan untuk WWTP dan tank farm</t>
  </si>
  <si>
    <t>review &amp; approval drawing wiring diagram AHU DX sensory QC PNB</t>
  </si>
  <si>
    <t>Review</t>
  </si>
  <si>
    <t>support technician remote start PG SKC unloading</t>
  </si>
  <si>
    <t>Operational</t>
  </si>
  <si>
    <t>drive fault by flowswitch</t>
  </si>
  <si>
    <t>membuat format timestamp harian utility</t>
  </si>
  <si>
    <t>mengisi format timestamp personal as a leader</t>
  </si>
  <si>
    <t>isoma</t>
  </si>
  <si>
    <t>update timestamp personal</t>
  </si>
  <si>
    <t>survey dan analisan kebocoran roots blower STP untuk perbaikan PT JAMAI</t>
  </si>
  <si>
    <t>Survey</t>
  </si>
  <si>
    <t>survey pemindahan temporary pipa dan kabel shallot PT JAMAI</t>
  </si>
  <si>
    <t>survey dan review strainer pipa limbah PNB</t>
  </si>
  <si>
    <t>collect data + membuat report issue bau di management building</t>
  </si>
  <si>
    <t>Laporan</t>
  </si>
  <si>
    <t>berjalan ke mushola</t>
  </si>
  <si>
    <t>istirahat solat</t>
  </si>
  <si>
    <t>clsosing permit &amp; cek pekerjaan PT DSS &amp; clsosing permit PT HANDA</t>
  </si>
  <si>
    <t>Selasa</t>
  </si>
  <si>
    <t>Cek actual tanki solar 8000 L , 500 L</t>
  </si>
  <si>
    <t>update data pembagian SME dan imrovement area utility</t>
  </si>
  <si>
    <t>administratif</t>
  </si>
  <si>
    <t>approval permit DSS &amp; HANDA</t>
  </si>
  <si>
    <t>input data solar utility bulan juni 2025</t>
  </si>
  <si>
    <t>perhitungan data solar stock bulan mei vs bulan juni 2025</t>
  </si>
  <si>
    <t>penjelasan dan approval permit PT CMMP</t>
  </si>
  <si>
    <t>berjalan ke area sensory QC PNB</t>
  </si>
  <si>
    <t>cek area kerja PT CMMP</t>
  </si>
  <si>
    <t>supervisi</t>
  </si>
  <si>
    <t>berjalan ke area office</t>
  </si>
  <si>
    <t>kirim laporan Pemakaian soalr bulan juni 2025</t>
  </si>
  <si>
    <t>compliance</t>
  </si>
  <si>
    <t>review quotation &amp; nego overhaul blower STP PT JAMAI</t>
  </si>
  <si>
    <t>kirim approval email overhaul blower STP PT JAMAI</t>
  </si>
  <si>
    <t>gathering data laporan SIINAS triwulan</t>
  </si>
  <si>
    <t>gathering data laporan SIINAS triwulan dan kirim laporan</t>
  </si>
  <si>
    <t>meeting project segregation</t>
  </si>
  <si>
    <t>meeting</t>
  </si>
  <si>
    <t>diskusi dan review material approval project PT CMMP</t>
  </si>
  <si>
    <t>berjalan ke office</t>
  </si>
  <si>
    <t>finaslisasi data CIPOR water balance, freon dan isi laporan</t>
  </si>
  <si>
    <t>penangan fire alarm RSDC</t>
  </si>
  <si>
    <t>troubleshoot</t>
  </si>
  <si>
    <t>pmeriksaan lampu QC TTH berair dan ganti lampu</t>
  </si>
  <si>
    <t xml:space="preserve">membuat overide fire alarm &amp; approval </t>
  </si>
  <si>
    <t>istrirahat solat</t>
  </si>
  <si>
    <t>penangan fire alarm OBD</t>
  </si>
  <si>
    <t>Rabu</t>
  </si>
  <si>
    <t>Training GMP flavour &amp; perfumery + FU project safety + FU project small compound PNB + FU penawaran pipa shallot</t>
  </si>
  <si>
    <t>training</t>
  </si>
  <si>
    <t>Kamis</t>
  </si>
  <si>
    <t>Training GMP flavour &amp; perfumery + FU project safety + FU strainer PNB + PU pit SS PNB</t>
  </si>
  <si>
    <t>Jumat</t>
  </si>
  <si>
    <t>jalan ke tooling repack</t>
  </si>
  <si>
    <t>cek tooling repack with vendor</t>
  </si>
  <si>
    <t>I, V, error code</t>
  </si>
  <si>
    <t>analisa hembusan hood SS GC PNB, analisa issue BAU area management building</t>
  </si>
  <si>
    <t>plant walk area QC &amp; area warehouse segregation</t>
  </si>
  <si>
    <t>plant walk</t>
  </si>
  <si>
    <t>kirim foto pita area acetaldehyde dan tank farm</t>
  </si>
  <si>
    <t>plant walk warehouse area segregation project</t>
  </si>
  <si>
    <t>diskusi pemakaian solar dengan ibu novi</t>
  </si>
  <si>
    <t>diskusi</t>
  </si>
  <si>
    <t>kordinasi pekerjaan dengan PT JAMAI untuk pembongkaran rak tooling</t>
  </si>
  <si>
    <t>reply pemakaian email solar ibu novi</t>
  </si>
  <si>
    <t>kordnasi pekerjaan hari minggu dengan vendor (PT BCI, CMMP, LMT)</t>
  </si>
  <si>
    <t>kordinasi</t>
  </si>
  <si>
    <t>kordinasi pekerjaan dengan warehouse untuk pembongkaran rak tooling</t>
  </si>
  <si>
    <t>CMMP drop material di workshop</t>
  </si>
  <si>
    <t>diskusi perubahan ducting existing untuk hari minggu</t>
  </si>
  <si>
    <t>solat</t>
  </si>
  <si>
    <t xml:space="preserve">jalan ke belakang </t>
  </si>
  <si>
    <t>cek unit AHU repack tooling + cek filter medium</t>
  </si>
  <si>
    <t>dif pres aman, tpi perlu penggantian</t>
  </si>
  <si>
    <t>membuat kordinasi pekerjaan sabtu dan minggu + siapkan JSA</t>
  </si>
  <si>
    <t>WEEK 2 SHIFT 1</t>
  </si>
  <si>
    <t>collect data penawaran pipa limbah TTH, pit stainless, + diapraghm</t>
  </si>
  <si>
    <t>approval permit, update weekly report</t>
  </si>
  <si>
    <t>weekly meeting</t>
  </si>
  <si>
    <t>berjalan ke area management building</t>
  </si>
  <si>
    <t>survey PT CMMP humidity issue QC LAB TTH</t>
  </si>
  <si>
    <t>survey</t>
  </si>
  <si>
    <t>ishoma</t>
  </si>
  <si>
    <t>cek pengisian PG SKC</t>
  </si>
  <si>
    <t>operational</t>
  </si>
  <si>
    <t>briefing with team</t>
  </si>
  <si>
    <t>meeting with pak dody, IKJA, AHIK</t>
  </si>
  <si>
    <t>ukur tanki PG SKC terhadap box aktual</t>
  </si>
  <si>
    <t>10 meter</t>
  </si>
  <si>
    <t>bobok jalur pipa eyewash</t>
  </si>
  <si>
    <t>koreksi drawing puji untuk jarak turkc tanki DPG</t>
  </si>
  <si>
    <t>cek overdue compliance</t>
  </si>
  <si>
    <t>approval permit, diskusi partisi wh tooling dan shallot, sequence pekerjaan, material incoming</t>
  </si>
  <si>
    <t>follow up res teknus agitator 2.5 T, follow up BMS project</t>
  </si>
  <si>
    <t>kaizen</t>
  </si>
  <si>
    <t>istiirahat</t>
  </si>
  <si>
    <t>laporan bulanan utility</t>
  </si>
  <si>
    <t>unloading DPG SKC trial venting</t>
  </si>
  <si>
    <t>fotric leak detector, thermal imager, power quality</t>
  </si>
  <si>
    <t>trial thermal imager</t>
  </si>
  <si>
    <t>berjalan ke area engineering</t>
  </si>
  <si>
    <t>BMS winteq-siemens</t>
  </si>
  <si>
    <t>diskusi sistem lama untuk BMS dengan winteq</t>
  </si>
  <si>
    <t>survey drum transfer PT FASNETIC</t>
  </si>
  <si>
    <t>survey drum transfer PT WINTEQ</t>
  </si>
  <si>
    <t>meeting online with labtech QC</t>
  </si>
  <si>
    <t>cek ducting AC QC TTH</t>
  </si>
  <si>
    <t>meeting safety idea</t>
  </si>
  <si>
    <t>approval JSA</t>
  </si>
  <si>
    <t>cek rencana modifikasi ducting PT CMMP</t>
  </si>
  <si>
    <t>review stutan platform AHU pada ceiling</t>
  </si>
  <si>
    <t>berjalan ke belakang</t>
  </si>
  <si>
    <t>diskusi dengan forbess</t>
  </si>
  <si>
    <t>follow penawaran harga heater QC, safety idea</t>
  </si>
  <si>
    <t>cek due date uji riksa, admin fiix</t>
  </si>
  <si>
    <t>recek gambar vs aktual AC warehouse tooling</t>
  </si>
  <si>
    <t>approval revisi JSA AC tooling repack</t>
  </si>
  <si>
    <t>OPEX - SOI Alternate source PG</t>
  </si>
  <si>
    <t>reply email P2P</t>
  </si>
  <si>
    <t>persiapan pekerjaan ketinggian, cek globe valve, coba close</t>
  </si>
  <si>
    <t>pencarian dop untuk tutup steam</t>
  </si>
  <si>
    <t>penutupan jalur steam</t>
  </si>
  <si>
    <t>ON steam test kebocoran</t>
  </si>
  <si>
    <t>kordinasi dengan vendor untuk perbaikan</t>
  </si>
  <si>
    <t>pencarian globe valve bocor &amp; kordinasi dengan beberapa vendor</t>
  </si>
  <si>
    <t>pengurusan permit</t>
  </si>
  <si>
    <t>pemeriksaan lapangan dan pengukuran</t>
  </si>
  <si>
    <t>persiapan material &amp; fabrikasi</t>
  </si>
  <si>
    <t>perbaikan globe valve bocor dengan cara di las</t>
  </si>
  <si>
    <t>test running, perapian alat kerja</t>
  </si>
  <si>
    <t>WEEK 3 SHIFT 1</t>
  </si>
  <si>
    <t>survey final area utility monitoring (wiring, penarikan kabel, penempatan panel) area deepwel 2, chiller patchouli</t>
  </si>
  <si>
    <t>survey final area utility monitoring (wiring, penarikan kabel, penempatan panel) area hotbox PNB, tooling</t>
  </si>
  <si>
    <t>survey final area utility monitoring (wiring, penarikan kabel, penempatan panel) area cold storage wh</t>
  </si>
  <si>
    <t>survey final area utility monitoring (wiring, penarikan kabel, penempatan panel) area precursor, cold room, sensitive</t>
  </si>
  <si>
    <t>update presentasi utility monitoring</t>
  </si>
  <si>
    <t>survey final area utility monitoring (wiring, penarikan kabel, penempatan panel) area pump room, hotbox, chiller WO</t>
  </si>
  <si>
    <t>kick off meeting utility monitoring system</t>
  </si>
  <si>
    <t>diskusi penempatan rotary lamp dan PC baru, panel baru utility monitoring</t>
  </si>
  <si>
    <t>monthly meeting engineering</t>
  </si>
  <si>
    <t>membuat base SOP demin</t>
  </si>
  <si>
    <t>membuat flowchart untuk SOP demin</t>
  </si>
  <si>
    <t>approval penawaran harga HVAC daikin</t>
  </si>
  <si>
    <t>membuat detail operasi dan egenerasi untuk SOP demin</t>
  </si>
  <si>
    <t>recek dokumen existing di firDMS untuk demin</t>
  </si>
  <si>
    <t>training SHEBE</t>
  </si>
  <si>
    <t>approval JSA pipa shallot &amp; ac tooling</t>
  </si>
  <si>
    <t>check manual analog input omron untuk panel WTP</t>
  </si>
  <si>
    <t>cek keseuian drawing struktur dan aktual dengan pak ajat</t>
  </si>
  <si>
    <t>cek pembobokan pintu emergency WH</t>
  </si>
  <si>
    <t>update timestamp harian, cek PCN, kirim MOC pipa shallot</t>
  </si>
  <si>
    <t>revisi JSA pemindahan pipa shallot</t>
  </si>
  <si>
    <t>rescue plan pemindahan pipa shallot</t>
  </si>
  <si>
    <t>kordinasi penarikan kabel WH dan management building</t>
  </si>
  <si>
    <t>revisi program analog input panel PLC WWTP</t>
  </si>
  <si>
    <t>MOC meeting</t>
  </si>
  <si>
    <t>survey final penarikan kabel WH dan management building</t>
  </si>
  <si>
    <t>MUKB</t>
  </si>
  <si>
    <t>plant walk around</t>
  </si>
  <si>
    <t>Start up utility (compressor, HWG, pump, chiller, AC, exhaust, air curtain, dust filter, wet scrubber)</t>
  </si>
  <si>
    <t>pencatatan harian utility</t>
  </si>
  <si>
    <t>cek level air tank 10 &amp; 60 M3, cek flowmeter hydrant tank sebagai pengganti kubikasi DW2</t>
  </si>
  <si>
    <t>Berjalan ke WWTP</t>
  </si>
  <si>
    <t>preparation temporary backup blower STP</t>
  </si>
  <si>
    <t>pemasangan temporary backup blower STP</t>
  </si>
  <si>
    <t>Preparation Unloading PG SKC</t>
  </si>
  <si>
    <t xml:space="preserve">setting AC QC PNB </t>
  </si>
  <si>
    <t>sensory dingin</t>
  </si>
  <si>
    <t xml:space="preserve">Cek filter PG SKC, cleaning </t>
  </si>
  <si>
    <t>Pasang selang PG SKC, start up</t>
  </si>
  <si>
    <t>cek blower STP</t>
  </si>
  <si>
    <t>Monitoring chiller TTH, wash oil dan Dust collerctor</t>
  </si>
  <si>
    <t>cek reffer container WH daikin</t>
  </si>
  <si>
    <t>cek sample demin</t>
  </si>
  <si>
    <t>pemeriksaan blower STP seusai rekomendasi dari maker via PT JAMAI</t>
  </si>
  <si>
    <t>Start up wet scrubber HVAC shallot</t>
  </si>
  <si>
    <t>Pengecekan IBC shallot</t>
  </si>
  <si>
    <t>Serah terima laporan</t>
  </si>
  <si>
    <t>WC</t>
  </si>
  <si>
    <t>Breafing</t>
  </si>
  <si>
    <t>QC ganti gas, stock ga ada cek kek</t>
  </si>
  <si>
    <t>PNB juga ga ada, adjust suhu HVAC</t>
  </si>
  <si>
    <t>Prepare proses shallot, boiler, cooling tower, IBC</t>
  </si>
  <si>
    <t>Kaizen</t>
  </si>
  <si>
    <t>Break</t>
  </si>
  <si>
    <t>Bahasa bahan baju</t>
  </si>
  <si>
    <t>Unloading DPG, and cleaning box</t>
  </si>
  <si>
    <t>Cek shallot process equipment</t>
  </si>
  <si>
    <t>Pencatatan WTP, cek bak, pengisian NASCO Fe</t>
  </si>
  <si>
    <t>Cek unit refer container ada anomali</t>
  </si>
  <si>
    <t>Di unit emulsi</t>
  </si>
  <si>
    <t>Ishoma</t>
  </si>
  <si>
    <t>Pengambilan barang dan test pemasangan tempat indikator WWTP</t>
  </si>
  <si>
    <t>work order</t>
  </si>
  <si>
    <t>Trial high level</t>
  </si>
  <si>
    <t>Ambil sample demin</t>
  </si>
  <si>
    <t>Tensi dan cek permit vendor HVAC QC PNB</t>
  </si>
  <si>
    <t>Pencatatan dan monitoring chiller TTH, dust collector</t>
  </si>
  <si>
    <t>Bongkar mobil</t>
  </si>
  <si>
    <t>Cek shallot proses, dan shutdown boiler cooling tower</t>
  </si>
  <si>
    <t>Kalibrasi alat ukur demin</t>
  </si>
  <si>
    <t>Sampling demin 2 IBC</t>
  </si>
  <si>
    <t>Pencatatan energi</t>
  </si>
  <si>
    <t>Parkir mobil loading PG</t>
  </si>
  <si>
    <t>Berjalan sampai belakang</t>
  </si>
  <si>
    <t>Pencatatan Energi utility, 5S area utility, Penggantian filter body compressor, dan cleaning filternya</t>
  </si>
  <si>
    <t>Cek wet scrubber dan ibc shallot</t>
  </si>
  <si>
    <t>Cek unit refer container dan HVAC tooling</t>
  </si>
  <si>
    <t xml:space="preserve">Cek chiller wash oil </t>
  </si>
  <si>
    <t>Pencatatan dan pengecekan area WTP</t>
  </si>
  <si>
    <t>briefiing</t>
  </si>
  <si>
    <t>Cek PM dan FIX</t>
  </si>
  <si>
    <t>PM Filter screen DPG lama , Cleaning &amp; Sanitasi</t>
  </si>
  <si>
    <t>preventive</t>
  </si>
  <si>
    <t>PM Filter screen PG baru + Loading PG</t>
  </si>
  <si>
    <t>Survei jalur kabel, angin untuk timbangan  baru PNB</t>
  </si>
  <si>
    <t>Discus sama pak angga</t>
  </si>
  <si>
    <t>Monitoring chiller TTH dan Dust collerctor</t>
  </si>
  <si>
    <t>PM pompa fail pompa trasfer keburu penuh</t>
  </si>
  <si>
    <t>Switch Chiller wash oil karena belum tercapai</t>
  </si>
  <si>
    <t>Perbantuan team produksi angkat movable mixer</t>
  </si>
  <si>
    <t>Clossing tranfer PG</t>
  </si>
  <si>
    <t>Sampling demin 3 IBC</t>
  </si>
  <si>
    <t>Follow up penarikan kabel sampil pengisian laporan harian</t>
  </si>
  <si>
    <t>Closed WO Fix &amp; Pembuatan Maintence TASK Filter screen + Upload fiix</t>
  </si>
  <si>
    <t>Toilet</t>
  </si>
  <si>
    <t>Jalan ke arah office dan prepare</t>
  </si>
  <si>
    <t>Cek HVAC TTH, exhaust rey stop bearing kasar</t>
  </si>
  <si>
    <t>Start Up wet scrubber dan monitoring ibc bawang (process masak bawang</t>
  </si>
  <si>
    <t>Isi solar, pencatatan. 5s utility</t>
  </si>
  <si>
    <t>Breafing pagi</t>
  </si>
  <si>
    <t>Monitoring boiler dan Cooling tower  dan Shutdown</t>
  </si>
  <si>
    <t>Salin catatan pemakaian energi</t>
  </si>
  <si>
    <t>Admin Utility</t>
  </si>
  <si>
    <t>Prepare pemasangan magnahelic TTH dan Cleaning Unit</t>
  </si>
  <si>
    <t>Pemasangan Magnahelic dan penyesuaian unit (Sampling TTH)</t>
  </si>
  <si>
    <t>Cek HVAC Tooling produksi</t>
  </si>
  <si>
    <t>PM filter screen  PG lama</t>
  </si>
  <si>
    <t>Loading PG mobil</t>
  </si>
  <si>
    <t>Support produksi bawang proses cooling reaktor open</t>
  </si>
  <si>
    <t>Cek IBC cooling tower dan pengisian IBC</t>
  </si>
  <si>
    <t>Cek dakting Ruang sensory QC PNB dan Dakting unit QC Sensory TTH</t>
  </si>
  <si>
    <t>Pencatatan stock demin produksi</t>
  </si>
  <si>
    <t>Support produksi bawang proses cooling reaktor closed</t>
  </si>
  <si>
    <t>Cek Level tangki PG SKC</t>
  </si>
  <si>
    <t>Release Loading PG Brentag</t>
  </si>
  <si>
    <t>Survei plafon issue bau area management building</t>
  </si>
  <si>
    <t xml:space="preserve">Pembuatan laporan dan perapihan alat </t>
  </si>
  <si>
    <t>Jum'at</t>
  </si>
  <si>
    <t>Jalan sampai belakang</t>
  </si>
  <si>
    <t>start up wet scrubber dan monitoring shallot</t>
  </si>
  <si>
    <t>Cek fix and closed wo</t>
  </si>
  <si>
    <t>cek area wwtp</t>
  </si>
  <si>
    <t>breafing</t>
  </si>
  <si>
    <t>ambil botol sample demin ke QC TTH  dan pindahkan gas qc tth ke qc lab</t>
  </si>
  <si>
    <t>traccing dakting</t>
  </si>
  <si>
    <t>ganti gas qc</t>
  </si>
  <si>
    <t>off CT dan boiler proses bawang</t>
  </si>
  <si>
    <t>Supervisi bongkar blower, loto, dop valve</t>
  </si>
  <si>
    <t>Pencatatan, pengisian solar, 5s</t>
  </si>
  <si>
    <t>Pemindahan gas nitrogen kosong ke utility dan isi ke PNB</t>
  </si>
  <si>
    <t>ISHOMA</t>
  </si>
  <si>
    <t>Prepare pemasangan dan pemasangan acetaldhyde</t>
  </si>
  <si>
    <t>Monitoring chiller TTH dan dust collector</t>
  </si>
  <si>
    <t>Matikan chiller dan trial unit chiller wash oil 1 tanpa beban</t>
  </si>
  <si>
    <t>Admin input equipment to data, and master list steam trap</t>
  </si>
  <si>
    <t>Kalibrasi demin</t>
  </si>
  <si>
    <t>Sampling Demin 2 IBC</t>
  </si>
  <si>
    <t>Input equipment ke fix steam trap</t>
  </si>
  <si>
    <t>Report daily work</t>
  </si>
  <si>
    <t>Sabtu</t>
  </si>
  <si>
    <t>Jalan sampai belakang start UP we scrubber</t>
  </si>
  <si>
    <t>Monitoring proses bawang dan shutdown equipment boiler, Cooling tower</t>
  </si>
  <si>
    <t>Ganti gas QC TTH dan cek ruangan modula</t>
  </si>
  <si>
    <t xml:space="preserve">5s gudang 2 </t>
  </si>
  <si>
    <t>Prepare pemasangan dfloat switch</t>
  </si>
  <si>
    <t>Permitt Jamai, handa, dss</t>
  </si>
  <si>
    <t>Perbantuan produksi pompa highsir</t>
  </si>
  <si>
    <t>Supervisi lintas mandiri dan LOTO exhaust TTH</t>
  </si>
  <si>
    <t>Survey jamai, gabisa kerja area kerja masih ada barang, dan harus bikin dof</t>
  </si>
  <si>
    <t>Survey pundi filter pompa limbah dan plafon sampling pnb</t>
  </si>
  <si>
    <t>Pemasangan Float switch</t>
  </si>
  <si>
    <t>Supervisi maytech penggantian  flexble join</t>
  </si>
  <si>
    <t>Loading tabung nitrogen pnb</t>
  </si>
  <si>
    <t>supervisi handa trial mixing polimer</t>
  </si>
  <si>
    <t>shutdown HVAC TTH</t>
  </si>
  <si>
    <t>Salin catatan</t>
  </si>
  <si>
    <t>Clossing permitt dss dan pembuatan report</t>
  </si>
  <si>
    <t>SHIFT 3</t>
  </si>
  <si>
    <t>Jalan sampai belakang prepare kerja</t>
  </si>
  <si>
    <t>Monitoring Tangki yang akan di proses chiller wash oil dan  dust collector</t>
  </si>
  <si>
    <t>Tuang garam 2 karung ke bak penampungan garam</t>
  </si>
  <si>
    <t>Prepare regenerasi softner, pengadukan garam</t>
  </si>
  <si>
    <t>Cek unit Utility</t>
  </si>
  <si>
    <t>Drain IBC Shallot dan Drain bak wet scrubber 1/2 tangki</t>
  </si>
  <si>
    <t>Monitoring PAU</t>
  </si>
  <si>
    <t xml:space="preserve">Start chiller wash oil 1 dan 2 noted : Chiller was oil 1 terlalu lama pendinginan (20') chiller 2 (0') jalur diganti ke jalur chiller 2 untuk semua pendinginan pada tangki proses, Bak chiller 1 volumenya lebih banyak, dan volume bak 2 kurang (di transfer dari bak 1) </t>
  </si>
  <si>
    <t>Pengisian bak Cooling tower dan Bak wet scrubber (monitoring)</t>
  </si>
  <si>
    <t>Backwash WTP</t>
  </si>
  <si>
    <t>Pencatatan dan monitoring Chiller TTH</t>
  </si>
  <si>
    <t>Break Makan</t>
  </si>
  <si>
    <t>Start Regenerasi Softner</t>
  </si>
  <si>
    <t>Input data 
- Maintenance HVAC Mei
- Refeer Container 1-5 , closed Fiix</t>
  </si>
  <si>
    <t>Solat subuh</t>
  </si>
  <si>
    <t>Sampling demin hasil reagent</t>
  </si>
  <si>
    <t>Switch valve chiller wash oil ke jalur masing"</t>
  </si>
  <si>
    <t xml:space="preserve">Cek HVAC QC, Produksi PNB </t>
  </si>
  <si>
    <t>Cek suhu tangki chiller wash oil dalam produksi</t>
  </si>
  <si>
    <t>Closed WO, Lanjut admin data chiller, pembuatan laporan pekerjaan</t>
  </si>
  <si>
    <t>Input data maintenance HVAC</t>
  </si>
  <si>
    <t>Training mas malik Input data fiix, master llist, administrasi</t>
  </si>
  <si>
    <t>Pengisian Solar</t>
  </si>
  <si>
    <t>Start Up chiller wash oil 1 dan 2 pree cooling</t>
  </si>
  <si>
    <t>Support produksi pemasangan tempat scanner timbangan 4 (modifikasi karena braket tidak sesuai model baru)</t>
  </si>
  <si>
    <t>Pelepasan Tampungan kondensasi AC TTH Visitor</t>
  </si>
  <si>
    <t>Monitoring Dust collector dan kominikasi dengan produksi prepare masak bawanh, dan pengecekan tangki wash oil</t>
  </si>
  <si>
    <t>Kantin ambil snack</t>
  </si>
  <si>
    <t>Shutdown Wet scrubber dan cek ibc shallot (Closed valve)</t>
  </si>
  <si>
    <t>Start Up boiler dan Drain header steam boiler (sampai steam kering)</t>
  </si>
  <si>
    <t>Drain mainline jalur steam shallot</t>
  </si>
  <si>
    <t xml:space="preserve">Drain line after tangki </t>
  </si>
  <si>
    <t>Start up cooling tower dan pengisian IBC Cooling tower</t>
  </si>
  <si>
    <t>Monitoring chiller TTH dan PAU</t>
  </si>
  <si>
    <t>Monitoring Proses masak bawang dan cooling tower</t>
  </si>
  <si>
    <t>Pembuatan JSA
- Overhaul HVAC Tooling
- Perbaiki Exhaust TTH
- Overhaul Blower</t>
  </si>
  <si>
    <t>Input Data Maintenance HVAC bulan JUNI</t>
  </si>
  <si>
    <t>Collect chemical cucian IPA untuk wet scrubber dan survei jalur air panas</t>
  </si>
  <si>
    <t>Monitoring Proses masak bawang dan menghitung stok demin</t>
  </si>
  <si>
    <t>Input maintenance HVAC JULI done dan Closed Fiix</t>
  </si>
  <si>
    <t>Buat report harian</t>
  </si>
  <si>
    <t>Perbantuan Perbaikan springkle dan pemasangan Bim rak</t>
  </si>
  <si>
    <t>Buka Drain shallot dan Drain wet scrubber</t>
  </si>
  <si>
    <t xml:space="preserve">Prepare regen softner dan pengadukan garam </t>
  </si>
  <si>
    <t>Pengisian IBC Cooling tower dengan Demin</t>
  </si>
  <si>
    <t>Backwash Regenerasi Demin</t>
  </si>
  <si>
    <t>Monitoring Chiller TTH &amp; PAU &amp; Start Backwash regenerasi filter softner</t>
  </si>
  <si>
    <t>Back wash anion, Inject HCL Regen dan flushing HCL</t>
  </si>
  <si>
    <t>Backwash Cation, Inject Coastic Soda dan flushing Coastic soda</t>
  </si>
  <si>
    <t>Flushing dan cleaning Bak Wet scrubber dan collect limbah produksi PNB (Monitoring PAU &amp; Chiller TTH &amp; Wet scrubber TTH)</t>
  </si>
  <si>
    <t>sholat</t>
  </si>
  <si>
    <t>Admiin Utility</t>
  </si>
  <si>
    <t>solat isya</t>
  </si>
  <si>
    <t>Serah terima pekerjaan</t>
  </si>
  <si>
    <t>Cek demin dan sampling demin 1 IBC</t>
  </si>
  <si>
    <t>Collect chemical PNB penambahan wet scrubber</t>
  </si>
  <si>
    <t>Prepare garam, Pengadukan garam regen softner</t>
  </si>
  <si>
    <t>Shutdown Wet scrubber</t>
  </si>
  <si>
    <t xml:space="preserve">Admin Utility Closed WO </t>
  </si>
  <si>
    <t xml:space="preserve">Prepare Masak bawang, Nyalakan boiler, drain header, dan line steam produksi bawang, Check and run cooling tower </t>
  </si>
  <si>
    <t>Start Up chillerwash oil 1 dan 2</t>
  </si>
  <si>
    <t>Tindakan kebocoran pipa jalur steam patchouli</t>
  </si>
  <si>
    <t>Breaf dengan pak fajar dan pemasangan LOTO</t>
  </si>
  <si>
    <t>Monitoring dan pencatatan PAU, Chiller TTH</t>
  </si>
  <si>
    <t>Pelepasan koneksi jalur steam yang rusak</t>
  </si>
  <si>
    <t>Pebantuan perbaikan jalur steam</t>
  </si>
  <si>
    <t>Pembuatan JSA</t>
  </si>
  <si>
    <t>Berjalan kebelakang</t>
  </si>
  <si>
    <t>Serah terima peerjaan</t>
  </si>
  <si>
    <t>Cek proses masak bawang, Steam, IBC, Suhu produksi</t>
  </si>
  <si>
    <t>Cek equipment Utility</t>
  </si>
  <si>
    <t>Test Suhu ruang QC komplain ada embun air pada kaca ruang smelling qc TTH</t>
  </si>
  <si>
    <t>Prepare Regenerasi Filter softner , Pengadukan garam</t>
  </si>
  <si>
    <t>PM P-PNB-PS01</t>
  </si>
  <si>
    <t>Monitoring Proses Bawang, suhu tercapai di 115'c Masuk produksi TTH konfirm team TTH untuk lanjut masukan powder</t>
  </si>
  <si>
    <t>Standby Sampai suhu tercapai dan Shutdown equipment utility</t>
  </si>
  <si>
    <t xml:space="preserve">Break </t>
  </si>
  <si>
    <t xml:space="preserve">Pengisian berkas pekerjaan ruanhg terbatas team produksi </t>
  </si>
  <si>
    <t>Monitorinng Chiller TTH, PAU</t>
  </si>
  <si>
    <t>Cek tangki proses wash oil, dan start up chiller wash oil</t>
  </si>
  <si>
    <t>Start Regen Softner</t>
  </si>
  <si>
    <t>Refill Chemical Nasco</t>
  </si>
  <si>
    <t>Backwash Filter Clean water</t>
  </si>
  <si>
    <t>Pengisian IBC city water support untuk produksi pengeteasn mixer</t>
  </si>
  <si>
    <t>Admin Utility Closed Fiix Juni</t>
  </si>
  <si>
    <t>U-WWT-DO01_SM_1M (Schedule Maintenance 1 Bulanan)</t>
  </si>
  <si>
    <t>U-WWT-DO02_SM_1M (Schedule Maintenance 1 Bulanan)</t>
  </si>
  <si>
    <t>U-WWT-DO03_SM_1M (Schedule Maintenance 1 Bulanan)</t>
  </si>
  <si>
    <t>SHIFT 2</t>
  </si>
  <si>
    <t>Isi solar</t>
  </si>
  <si>
    <t>serah terima pekerjaan</t>
  </si>
  <si>
    <t>Monitoring Proses bawang</t>
  </si>
  <si>
    <t>WO 5661 PM ON OFF VALVE TANK FARM 38 (U-TFA-XV38) (Sight glass posisoning valve buram cleaning, lumasi baut agar tidak karat)</t>
  </si>
  <si>
    <t>Shutdown boiler dan Cooling tower bawang, proses masak bawang selesai</t>
  </si>
  <si>
    <t xml:space="preserve">Ambil sample dan sampling demin 1 IBC </t>
  </si>
  <si>
    <t>WO 6707 P-TTH-CF04_SM_1M (Schedule Maintenance 1 Bulanan)</t>
  </si>
  <si>
    <t>WO 6708 P-TTH-CF03_SM_1M (Schedule Maintenance 1 Bulanan)</t>
  </si>
  <si>
    <t>Jalan kedepan nyalakan lampu area utility</t>
  </si>
  <si>
    <t xml:space="preserve">WO 6713 P-TTH-FA03 Temuan PM saat penggantian Filter 5 mikron Head Housing rembes dari venting </t>
  </si>
  <si>
    <t>WO 6714 P-TTH-TE10 Pembacaan Sensor eror (kabel putus saat di cek)</t>
  </si>
  <si>
    <t>WO 6715 P-TTH-TE11 Kabel putus saat pengecekan hanya belum putus seutuhnya pembacaan kadang eror kadang baca (ganti unit)</t>
  </si>
  <si>
    <t>Ambil sample dan sampling demin 1 IBC  + pengecekan stock demin</t>
  </si>
  <si>
    <t>WO 6457  P-TTH-EX08 Lepas lototo dan trial unit exhaust Bearing Kasar + shutdown wet scrubber</t>
  </si>
  <si>
    <t>Admin Utility
Input schedule Maintenance penggantian Filter bulanan :
P-TTH-CF03     P-TTH-CF04
P-TTH-CF07     W-WWR-CF01
P-PNB-CF03</t>
  </si>
  <si>
    <t xml:space="preserve">Pembuatan report harian </t>
  </si>
  <si>
    <t>Review pembuatan aset baru diki</t>
  </si>
  <si>
    <t>Perbantuan bongkar transfer PG selesai loading</t>
  </si>
  <si>
    <t>Review dan Edit Pembuatan SOP demin</t>
  </si>
  <si>
    <t>Break Solat</t>
  </si>
  <si>
    <t>Sampling demin 1 IBC</t>
  </si>
  <si>
    <t>Training fix team Utility</t>
  </si>
  <si>
    <t>Foto Magnahelic area sampling dan acetaldhyde</t>
  </si>
  <si>
    <t>Ambil barang pemebelian housing filter 3pcs, dan menyalakan lampu penerangan area utility</t>
  </si>
  <si>
    <t>Lanjut edit SOP demin</t>
  </si>
  <si>
    <t>Break istirahat</t>
  </si>
  <si>
    <t>WO 6205 U-OUT-VP02_SM_3M (Schedule Maintenance 3 Bulanan) 1:00</t>
  </si>
  <si>
    <t>WO 6207 U-OUT-VP04_SM_3M (Schedule Maintenance 3 Bulanan) 1:00</t>
  </si>
  <si>
    <t xml:space="preserve">WO 6622 U-UTY-TM01_SM_12M (Schedule Maintenance 12 Bulanan) 0.30 </t>
  </si>
  <si>
    <t xml:space="preserve">WO 6620 U-UTY-CH01_SM_12M (Schedule Maintenance 12 Bulanan) 0.30 </t>
  </si>
  <si>
    <t xml:space="preserve">WO 6621 U-UTY-CH02_SM_12M (Schedule Maintenance 12 Bulanan) 0.30 </t>
  </si>
  <si>
    <t xml:space="preserve">Pembuatan maintenance Task
- Tangki chemical 
- Tangki garam
</t>
  </si>
  <si>
    <t>Cek stok Demin</t>
  </si>
  <si>
    <t>Serah Terima Pekerjaan</t>
  </si>
  <si>
    <t xml:space="preserve">Supervisi Jamai pemasangan Blower STP 2 </t>
  </si>
  <si>
    <t>Alignment Pulley ulang tim jamai belum pernah setting</t>
  </si>
  <si>
    <t>Ambil sample dan Sampling Demin QC 3 Sample</t>
  </si>
  <si>
    <t>PM U-STP-AB01</t>
  </si>
  <si>
    <t>admin belum</t>
  </si>
  <si>
    <t>PM U-STP-AB02</t>
  </si>
  <si>
    <t>Pengecekan pompa HWG 2(mager, Test Run, Voltage, ampere, Bearing</t>
  </si>
  <si>
    <t>Pengecekan Motor Pompa Vakum bawang (Mager)</t>
  </si>
  <si>
    <t>Tindakan Blower STP 2 Bocor , LOTO</t>
  </si>
  <si>
    <t>Ambil Sampling dan sampling  Demin 2 IBC</t>
  </si>
  <si>
    <t>Shutdown Wet Scrubber</t>
  </si>
  <si>
    <t xml:space="preserve">Pengecekan stock Demin dan pembuatan laporan </t>
  </si>
  <si>
    <t>Berjalan Kebelakanh</t>
  </si>
  <si>
    <t>Serah Terima Laporan pekerjaan</t>
  </si>
  <si>
    <t>Supervisi Jamai
- Pengecekan dan Adjust Tension V belt Blower 2
- Diskusi Blower, Pengecekan Rotor Blower 1 STP
- Pengecekan Blower WWTP</t>
  </si>
  <si>
    <t>Pengambilan Sample QC PNB request (Dan sampling 2 sample)</t>
  </si>
  <si>
    <t>Pengisian Solar dan Pengecekan pompa Solar (PM awal )</t>
  </si>
  <si>
    <t xml:space="preserve">Supervisi Lintas mandiri Teknik 
- outdoor 1 unit bawang , trip, Phasa T pada thermal over load kabel gosong indikasi over current, pengecekan fan, kompressor , aman, thermall dan kabel koneksi ke kompressor di lepas karena baut ngunci tidak bsa di buka (indikasi, koneksi awal kendor, terminal lembab/ terkena air karena kondisi karat) Unit Breakdown) 3 kompressor masih run </t>
  </si>
  <si>
    <t>Pengcekan pompa HWG 2, Volt ampere (monitoring troubleshoot kemarin)</t>
  </si>
  <si>
    <t>Penyesuaian Guarding Blower STP 02, Karena adjustmen pulley dan tension belt, jadi mentik guarding (cutting, bending)</t>
  </si>
  <si>
    <t>Break ISHOMA</t>
  </si>
  <si>
    <t>PM U-WWTP-AB02</t>
  </si>
  <si>
    <t>PM U-WWTP-AB01</t>
  </si>
  <si>
    <t>Break solat isya</t>
  </si>
  <si>
    <t>Ambil sample dan sampling air demin 2 IBC</t>
  </si>
  <si>
    <t>Admin Input Time Stamp pekerjaan Rabu dan kamis</t>
  </si>
  <si>
    <t>Shutdown Wetscrubber</t>
  </si>
  <si>
    <t xml:space="preserve">Admin dan closed WO </t>
  </si>
  <si>
    <t>Serah Terima pekerjaan</t>
  </si>
  <si>
    <t>Perapihan Berkas Utility</t>
  </si>
  <si>
    <t xml:space="preserve">WO 6793 U-OUT-CP11 Pompa tidak Bisa mati, Pelampung Eror </t>
  </si>
  <si>
    <t>Pengencangan dan adjusment mesin sealent tooling</t>
  </si>
  <si>
    <t>Ambil barang pesanan aufa</t>
  </si>
  <si>
    <t>Penutupan rak dengan terpal di workshop</t>
  </si>
  <si>
    <t>Break Ishoma</t>
  </si>
  <si>
    <t>Prepare perbaikan AC tooling</t>
  </si>
  <si>
    <t>LOTO dan Permitt perbaikan AC tooling</t>
  </si>
  <si>
    <t>Start Up chiller emulsi</t>
  </si>
  <si>
    <t>WO 6683 P-PNB-PS01_SM_1M (Schedule Maintenance 1 Bulanan)</t>
  </si>
  <si>
    <t>WO 6791 U-OUT-CP12_SM_3M (Schedule Maintenance 3 Bulanan)</t>
  </si>
  <si>
    <t>WO 6199 U-OUT-CI01 (Schedule Maintenance 3 Bulanan)</t>
  </si>
  <si>
    <t>WO 6198 U-OUT-CI02 (Schedule Maintenance 3 Bulanan)</t>
  </si>
  <si>
    <t>Pembuatan Mainttenance Task PRV</t>
  </si>
  <si>
    <t>WO 6148 P-TTH-RV01_SM_6M (Schedule Maintenance 6 Bulanan) : Fail
WO 6792 Inspection "Fail": ♦ Test Operasional Unit Follow on work order for "WO 6148" (triggered by P-TTH-RV01_SM_6M) for P-TTH-RV01 by null.
Technician notes: Adjuster sudah tidak berfungsi 
Ada rembesan pada pipa kapitasi</t>
  </si>
  <si>
    <t xml:space="preserve">Admin utility  HVAC week 1
- S-TTH-AE05 Fan blower ada anomali bearing kasar
</t>
  </si>
  <si>
    <t xml:space="preserve">Input Registrasi Equipment </t>
  </si>
  <si>
    <t>Break Istirahat</t>
  </si>
  <si>
    <t>Prepare regenerasi dan pengadukan garam</t>
  </si>
  <si>
    <t>Monitoring chiller TTH dan PAU (pencatatan)</t>
  </si>
  <si>
    <t>Pangggilan produksi PNB tidak bisa transfer DPG tangki 100 T habis, switch pindah</t>
  </si>
  <si>
    <t xml:space="preserve">Start Up Chiller Emulsi dan Wash oil </t>
  </si>
  <si>
    <t xml:space="preserve">Istirahat Solat </t>
  </si>
  <si>
    <t>Shutdown Chiller Emulsi</t>
  </si>
  <si>
    <t>Foto pencatatan Flowmeter bualan 20an</t>
  </si>
  <si>
    <t>Shutdown Equipment Utility</t>
  </si>
  <si>
    <r>
      <t xml:space="preserve"> </t>
    </r>
    <r>
      <rPr>
        <b/>
        <sz val="9"/>
        <color rgb="FF404040"/>
        <rFont val="Arial"/>
        <family val="2"/>
      </rPr>
      <t xml:space="preserve">Notes : Registrasi Equipment </t>
    </r>
    <r>
      <rPr>
        <sz val="9"/>
        <color rgb="FF404040"/>
        <rFont val="Arial"/>
        <family val="2"/>
      </rPr>
      <t xml:space="preserve">
- </t>
    </r>
    <r>
      <rPr>
        <b/>
        <sz val="9"/>
        <color rgb="FF404040"/>
        <rFont val="Arial"/>
        <family val="2"/>
      </rPr>
      <t>TTH</t>
    </r>
    <r>
      <rPr>
        <sz val="9"/>
        <color rgb="FF404040"/>
        <rFont val="Arial"/>
        <family val="2"/>
      </rPr>
      <t xml:space="preserve"> : </t>
    </r>
    <r>
      <rPr>
        <b/>
        <sz val="9"/>
        <color rgb="FF404040"/>
        <rFont val="Arial"/>
        <family val="2"/>
      </rPr>
      <t>147</t>
    </r>
    <r>
      <rPr>
        <sz val="9"/>
        <color rgb="FF404040"/>
        <rFont val="Arial"/>
        <family val="2"/>
      </rPr>
      <t xml:space="preserve"> 
- </t>
    </r>
    <r>
      <rPr>
        <b/>
        <sz val="9"/>
        <color rgb="FF404040"/>
        <rFont val="Arial"/>
        <family val="2"/>
      </rPr>
      <t>PNB</t>
    </r>
    <r>
      <rPr>
        <sz val="9"/>
        <color rgb="FF404040"/>
        <rFont val="Arial"/>
        <family val="2"/>
      </rPr>
      <t xml:space="preserve"> : </t>
    </r>
    <r>
      <rPr>
        <b/>
        <sz val="9"/>
        <color rgb="FF404040"/>
        <rFont val="Arial"/>
        <family val="2"/>
      </rPr>
      <t>67
- Sampling Tooling : 4</t>
    </r>
  </si>
  <si>
    <t>SHIFT 1</t>
  </si>
  <si>
    <t>Start Up Equipment Utility</t>
  </si>
  <si>
    <t>Pencatatan Energi</t>
  </si>
  <si>
    <t>Running chiller Emulsi</t>
  </si>
  <si>
    <t>Cek name plate tooling</t>
  </si>
  <si>
    <t>Trouble air panas ngempos</t>
  </si>
  <si>
    <t>Strat boiler</t>
  </si>
  <si>
    <t>Cek name plate tooling 2</t>
  </si>
  <si>
    <t>Nyalain pompa vakum</t>
  </si>
  <si>
    <t>Konfirm produksi pnb</t>
  </si>
  <si>
    <t>Blowdown header bawang</t>
  </si>
  <si>
    <t>off chiller emulsi</t>
  </si>
  <si>
    <t>Test bearing  vakum saat load</t>
  </si>
  <si>
    <t>Switch blowdown header ke mainline</t>
  </si>
  <si>
    <t>Pengecekan jalur demin after perbaikan</t>
  </si>
  <si>
    <t>Cek vakum patchouli</t>
  </si>
  <si>
    <t>Cek demiin</t>
  </si>
  <si>
    <t>matiin chiller emulsi</t>
  </si>
  <si>
    <t>Ganti filter dust filter</t>
  </si>
  <si>
    <t>Monitoring chiller tth</t>
  </si>
  <si>
    <t>Matikan chiller wash oil</t>
  </si>
  <si>
    <t>Supervisi dexa pengecekan air dryer</t>
  </si>
  <si>
    <t>pengisian ib cooling tower</t>
  </si>
  <si>
    <t>check unit HVAC TTHH, Name plate</t>
  </si>
  <si>
    <t>Admin data unit TTH , RSDC untuk project</t>
  </si>
  <si>
    <t>Sampling demin</t>
  </si>
  <si>
    <t>Salin pencatatan</t>
  </si>
  <si>
    <t>Jalan kebelakang</t>
  </si>
  <si>
    <t>Sarapan</t>
  </si>
  <si>
    <t>Start up chiller PNB</t>
  </si>
  <si>
    <t>Strat up wet scrubber</t>
  </si>
  <si>
    <t xml:space="preserve">Cek chiller </t>
  </si>
  <si>
    <t>Cek demin</t>
  </si>
  <si>
    <t>Pencatatan</t>
  </si>
  <si>
    <t>Start boiler</t>
  </si>
  <si>
    <t>Start pompa vakum</t>
  </si>
  <si>
    <t>Cek kebocoran vakum</t>
  </si>
  <si>
    <t>Bongkar Filter PG</t>
  </si>
  <si>
    <t>Loading PG</t>
  </si>
  <si>
    <t>Start chiller emulsi</t>
  </si>
  <si>
    <t>Supervisi lintas mandiri</t>
  </si>
  <si>
    <t>Penggantian IBC shallot</t>
  </si>
  <si>
    <t xml:space="preserve">Pengecekan jalur pipa vakum patchouli dan flushing </t>
  </si>
  <si>
    <t>Start Boiler</t>
  </si>
  <si>
    <t>Start wet scrubber</t>
  </si>
  <si>
    <t>Salin Catatan</t>
  </si>
  <si>
    <t>Nyalain pompa Chiller pnb</t>
  </si>
  <si>
    <t>Ganti Gas QC 2 tabung</t>
  </si>
  <si>
    <t>start pompa vakum</t>
  </si>
  <si>
    <t>Triouble shoot ac QC</t>
  </si>
  <si>
    <t>Drain header boiler proses baawang</t>
  </si>
  <si>
    <t>Kalibrasi Demin</t>
  </si>
  <si>
    <t>Drain mainline shallot</t>
  </si>
  <si>
    <t>Cek stop kontak pnb dengan riski</t>
  </si>
  <si>
    <t>Supervisi daikin , perizinan</t>
  </si>
  <si>
    <t>Buat Loto</t>
  </si>
  <si>
    <t>Cek tangki PG tank farm</t>
  </si>
  <si>
    <t xml:space="preserve">Cari freon </t>
  </si>
  <si>
    <t>Tutup evap yang sedang di perbaiki</t>
  </si>
  <si>
    <t>Sampling demin 1 ton</t>
  </si>
  <si>
    <t xml:space="preserve">Pengisian Chemical Nasco </t>
  </si>
  <si>
    <t>Monitoring Chiller TTH dan dust filter</t>
  </si>
  <si>
    <t>Pengalihan jalur chiller wash oil pendinginan telat</t>
  </si>
  <si>
    <t>Pembuatan tampungan limbah sementara engeineering dan perapihan limbah</t>
  </si>
  <si>
    <t>Thermal imager jalurvakum after tindakan kemarin</t>
  </si>
  <si>
    <t>.</t>
  </si>
  <si>
    <t>Start Up chiller (pree cooling belum transfer)</t>
  </si>
  <si>
    <t>Prepare garam dan pengadukan garam</t>
  </si>
  <si>
    <t>Pengambilan demin dan sampling 1 IBC</t>
  </si>
  <si>
    <t xml:space="preserve">Pengecekan Tangki wash oil (start pompa transfer) </t>
  </si>
  <si>
    <t>BREAK</t>
  </si>
  <si>
    <t>Monitoring Chiller TTH dan PAU</t>
  </si>
  <si>
    <t>PM WO 6143 P-TTH-CV02_SM_6M (Schedule Maintenance 6 Bulanan)</t>
  </si>
  <si>
    <t>PM WO 6140 P-TTH-CV03_SM_6M (Schedule Maintenance 6 Bulanan)</t>
  </si>
  <si>
    <t>PM WO 6141 P-TTH-CV04_SM_6M (Schedule Maintenance 6 Bulanan)</t>
  </si>
  <si>
    <t>Tindakan Temuan PM penggantian Fitting angin</t>
  </si>
  <si>
    <t>WO 6980 Penggantian Sensor Suhu air panas washing TTH Sensor themal eror tidak baca</t>
  </si>
  <si>
    <t>Subuh</t>
  </si>
  <si>
    <t>Back wash WTP</t>
  </si>
  <si>
    <t>Buka Valve drain IBC condensate shallot</t>
  </si>
  <si>
    <t>Pembuatan Scavenger Hunt</t>
  </si>
  <si>
    <t xml:space="preserve">Start Up chiller 1,2 </t>
  </si>
  <si>
    <t>Check tangki wash oil</t>
  </si>
  <si>
    <t>Off chiller Emulsi</t>
  </si>
  <si>
    <t>Open valve demin</t>
  </si>
  <si>
    <t>Pengadukan garam</t>
  </si>
  <si>
    <t>Trouble shoot AC koridor PNB ada yang turn off breaker</t>
  </si>
  <si>
    <t>Closed Demin dan open tangki</t>
  </si>
  <si>
    <t>lanjut break</t>
  </si>
  <si>
    <t>Start Regenerasi Boiler</t>
  </si>
  <si>
    <t>Pengisian IBC coling tower</t>
  </si>
  <si>
    <t>Admin Utility Input data HVAC</t>
  </si>
  <si>
    <t>Break solat</t>
  </si>
  <si>
    <t>Admin Utility Closed WO</t>
  </si>
  <si>
    <t>WO 6957 Q-TTH-AE02_SM_1M (Schedule Maintenance 1 Bulanan)</t>
  </si>
  <si>
    <t>WO 6918 S-PNB-AE02_SM_1M (Schedule Maintenance 1 Bulanan)
WO OPEN 6989 Inspection "Fail": 1. Pembersihan Unit Indoor &amp; Outdoor
Technician notes: Ada anomali pada pipa kapiler sama cumi evap mampet</t>
  </si>
  <si>
    <t>WO 6917 S-PNB-AE01_SM_1M (Schedule Maintenance 1 Bulanan)</t>
  </si>
  <si>
    <t>WO 6913 P-PNB-AE03_SM_1M (Schedule Maintenance 1 Bulanan)</t>
  </si>
  <si>
    <t>WO 6912 P-PNB-AE02_SM_1M (Schedule Maintenance 1 Bulanan)</t>
  </si>
  <si>
    <t>Start Wet scrubber</t>
  </si>
  <si>
    <t>Antar sample ke QC</t>
  </si>
  <si>
    <t>Start Up Boiler dan Drain steam</t>
  </si>
  <si>
    <t>Cek filter PG loading</t>
  </si>
  <si>
    <t>Start Chiller emulsi</t>
  </si>
  <si>
    <t>Start cooling tower</t>
  </si>
  <si>
    <t>Pengisian Chemical Nasco</t>
  </si>
  <si>
    <t>Shutdown chiller wash oil 1</t>
  </si>
  <si>
    <t>WO 6911 P-PNB-AE01_SM_1M (Schedule Maintenance 1 Bulanan)</t>
  </si>
  <si>
    <t>WO 6772 P-PNB-AE04_SM_1M (Schedule Maintenance 1 Bulanan)</t>
  </si>
  <si>
    <t>WO 6951 Q-TTH-AH01_SM_1M (Schedule Maintenance 1 Bulanan)</t>
  </si>
  <si>
    <t>WO 7000 Inspection "Fail": 1.8 Cek kondisi Kondensor; Kondensor dalam keadaan bersih tidak ada debu/ kotoran Follow on work order for "WO 6951" (triggered by Q-TTH-AH01_SM_1M) for Q-TTH-AH01 by null.
Technician notes: Tekanan feon kosong, indikasi kebocoran</t>
  </si>
  <si>
    <t>WO 6952 Q-PNB-AH01_SM_1M (Schedule Maintenance 1 Bulanan)</t>
  </si>
  <si>
    <t>WO 6950 Q-TTH-AH02_SM_1M (Schedule Maintenance 1 Bulanan)</t>
  </si>
  <si>
    <t>WO 6775 W-PNB-AH01_SM_1M (Schedule Maintenance 1 Bulanan)</t>
  </si>
  <si>
    <t>WO 6771 P-PNB-AH03_SM_1M (Schedule Maintenance 1 Bulanan)</t>
  </si>
  <si>
    <t>Start Chiller Emulsi</t>
  </si>
  <si>
    <t>Break makan</t>
  </si>
  <si>
    <t>Cleaning dan pengambilan sludge WET Scrubber</t>
  </si>
  <si>
    <t>Lanjut Cleaning dan pengambilan sludge WET Scrubber dan buang limbah B3</t>
  </si>
  <si>
    <t>Monitoring QC TTH</t>
  </si>
  <si>
    <t>Pencatatan, Start up wet scrubber, HVAC bawang</t>
  </si>
  <si>
    <t>Ganti gas QC pnb</t>
  </si>
  <si>
    <t>Cek Suhu QC</t>
  </si>
  <si>
    <t>Shutdown chiller emulsi</t>
  </si>
  <si>
    <t xml:space="preserve">Admin utility </t>
  </si>
  <si>
    <t xml:space="preserve">WO 7013 U-OUT-WC01 Bak Wet scrubber terdapat banyak sludge </t>
  </si>
  <si>
    <t>Report Harian</t>
  </si>
  <si>
    <t>Sampling Demin 1 IBC</t>
  </si>
  <si>
    <t>Start Regenerasi Filter Softner</t>
  </si>
  <si>
    <t>Backwash Filter WTP</t>
  </si>
  <si>
    <t>Admin Utility input equipment baru</t>
  </si>
  <si>
    <t>Monitoring Ruang QC TTH</t>
  </si>
  <si>
    <t>Break Sholat</t>
  </si>
  <si>
    <t>Start Up Wet scrubber dan penambahan Air bak</t>
  </si>
  <si>
    <t>Pencatatan Utility</t>
  </si>
  <si>
    <t>5S area gudang</t>
  </si>
  <si>
    <t>Open Drainn bak, Pengambilan Sludge Wet Scrubber</t>
  </si>
  <si>
    <t>Cleaning Bak Wet scrubber dan pengisian Chemical NaOH 1/2</t>
  </si>
  <si>
    <t>Cleaning IBC Cooling Tower</t>
  </si>
  <si>
    <t>Break dan Sholat</t>
  </si>
  <si>
    <t>Admin dan Report harian</t>
  </si>
  <si>
    <t>WO 7320 Chemical Wet Scrubber Sudah jenuh dan bak kotor</t>
  </si>
  <si>
    <t>WO 7321 IBC sudah banyak lumut</t>
  </si>
  <si>
    <t>Pengadukan garam start reagent</t>
  </si>
  <si>
    <t>Admin Utility Update master list</t>
  </si>
  <si>
    <t>Shutdown Equpiment Utility</t>
  </si>
  <si>
    <t>startup Chiller wash oil</t>
  </si>
  <si>
    <t>Pemasangan Jalur backwash clean water</t>
  </si>
  <si>
    <t>Closed demin dan buka valve</t>
  </si>
  <si>
    <t>IKJA</t>
  </si>
  <si>
    <t>SERAH TERIMA</t>
  </si>
  <si>
    <t>REPORT</t>
  </si>
  <si>
    <t>BERJALAN, PENGECEKAN/MEMASTIKAN SUPLAI UTILITY,SOLAR LANCAR/ CEK CLEAN WATER</t>
  </si>
  <si>
    <t>OPERASIONAL</t>
  </si>
  <si>
    <t>CEK/LIST WO YANG AKAN DI KERJAKAN</t>
  </si>
  <si>
    <t>ADMIN</t>
  </si>
  <si>
    <t>MEMBUAT 2 LAPORAN BOS</t>
  </si>
  <si>
    <t>BERKOORDINASI DENGAN TIM PRODUKSI TERKAIT SUPPLY CHILLER WASH OIL DAN CEK VALVE KEDALAM PRODUKSI TTH</t>
  </si>
  <si>
    <t>TIMBANG GARAM, PREPARE REGEN SOFTENER , START REGEN SOFTENER</t>
  </si>
  <si>
    <t>BERJALAN , MENYALAKAN CHILLER WASH OIL DAN MEMASTIKAN AIR CHILLER BERSIKULASI (POMPA OK)</t>
  </si>
  <si>
    <t>ISTIRAHAT/MAKAN</t>
  </si>
  <si>
    <t>ISTIRAHAT</t>
  </si>
  <si>
    <t>PENGECEKAN TEMPERATUR CHILLER TTH DIDALAM PRODUKSI DAN LAPORAN ENERGY CHILLER TTH</t>
  </si>
  <si>
    <t>PM 1, BERJALAN KEBELAKANG KANTIN DAN PEMELIHARAAN POMPA SUBMERSIBLE SEPTIKTANK KANTIN &amp; SUPPLY NITROGEN PNB</t>
  </si>
  <si>
    <t>PM</t>
  </si>
  <si>
    <t>BERJALAN KE WWTP DAN PM 2 POMPA DECANTER 1</t>
  </si>
  <si>
    <t>PM 3 POMPA DECANTER 2</t>
  </si>
  <si>
    <t>BREAK, KETOILET DAN SOLAT SUBUH</t>
  </si>
  <si>
    <t>PM 4, BERJALAN KE TOLLING AMBIL PLASTIK LALU CLEANING SIGHGLASS TANKI VACUUM DI WWTP</t>
  </si>
  <si>
    <t>PREPARE DOKUMEN DAILY REPORT BULAN JULY</t>
  </si>
  <si>
    <t>SERAH TERIMA KE SHIFT SELANJUTNYA</t>
  </si>
  <si>
    <t>CLOSE WO/ ADMIN</t>
  </si>
  <si>
    <t>PENGECEKAN STOK DEMIN DI WAREHAUSE DAN PENGECEKAN TEMPERATUR CHILLER WASH OIL</t>
  </si>
  <si>
    <t>BERJALAN, PENGECEKAN/MEMASTIKAN SUPLAI UTILITY LANCAR/ CEK CLEAN WATER</t>
  </si>
  <si>
    <t xml:space="preserve">CEK/LIST WO YANG AKAN DI KERJAKAN </t>
  </si>
  <si>
    <t>ADMIN/OPERASIONAL</t>
  </si>
  <si>
    <t>DRAIN KONDENSAT, MONITOR BLOWER STP DAN PREPARE TOOL</t>
  </si>
  <si>
    <t>BERKOORDINASI DENGAN TIM PRODUKSI TERKAIT SUPPLY CHILLER WASH OIL DAN CEK VALVE KEDALAM PRODUKSI</t>
  </si>
  <si>
    <t>TIMBANG GARAM PREPARE REGEN SOFTENER , START REGEN SOFTENER</t>
  </si>
  <si>
    <t>BERJALAN , MENYALAKAN CHILLER WASH OIL, MEMASTIKAN VALVE, MEMASTIKAN AIR CHILLER BERSIKULASI</t>
  </si>
  <si>
    <t>PENGECEKAN TEMPERATUR CHILLER TTH DIDALAM PRODUKSI DAN LAPORAN ENERGY CHILLER</t>
  </si>
  <si>
    <t>PM 1, PENGECEKAN REGULATOR GAS NITROGEN AREA TANKFARM, PENGECEKAN VALVE, SAMBUNGAN, DAN KEBOCORAN.</t>
  </si>
  <si>
    <t>PM 2, PENGECEKAN REGULATOR GAS NITROGEN AREA UTILITY, PENGECEKAN VALVE, SAMBUNGAN, DAN KEBOCORAN.</t>
  </si>
  <si>
    <t xml:space="preserve">PM 3, PENGECEKAN ROTAMETER ANION DEMIN. CLEANING, PENGECEKAN KEBOCORAN, REPOSISI BATANG UKUR. </t>
  </si>
  <si>
    <t xml:space="preserve">PM 4, PENGECEKAN ROTAMETER ANION DEMIN. CLEANING, PENGECEKAN KEBOCORAN, REPOSISI BATANG UKUR. </t>
  </si>
  <si>
    <t>WO PABRIKASI PEMBUATAN SUPPORT VISUAL SAMPLE LIMBAH WWTP</t>
  </si>
  <si>
    <t>WO</t>
  </si>
  <si>
    <t>BREAK, KETOILET, SOLAT SUBUH</t>
  </si>
  <si>
    <t>WO PABRIKASI PEMBUATAN SUPPORT VISUAL SAMPLE LIMBAH WWTP (LANJUTAN)</t>
  </si>
  <si>
    <t xml:space="preserve">PENGECEKAN KETERCAPAIAN TEMPERATUR CHILLER WASH OIL KE PRODUKSI TTH DAN MONITORING BACKWASH SAND FILTER </t>
  </si>
  <si>
    <t>CLOSE WO</t>
  </si>
  <si>
    <t>PENGECEKAN STOK DEMIN DAN MONITOR BACKWASH IRON MANGANESE</t>
  </si>
  <si>
    <t>BERJALAN, PENGECEKAN/MEMASTIKAN SUPLAI UTILITY LANCAR &amp; CEK CLEAN WATER</t>
  </si>
  <si>
    <t>PREPARE TOOL PM &amp; KORRDINASI DENGAN TIM PRODUKSI UNTUK MASAK BAWANG</t>
  </si>
  <si>
    <t>MENYALAKAN BOILER, DRAIN BOILER, DRAIN HEADER, DRAIN BEFORE REAKTOR &amp; DRAIN AFTER REAKTOR BAWANG</t>
  </si>
  <si>
    <t xml:space="preserve">PM 1 </t>
  </si>
  <si>
    <t>PM 2</t>
  </si>
  <si>
    <t>PM 3</t>
  </si>
  <si>
    <t>PM 4</t>
  </si>
  <si>
    <t>MONITORING TEMPERATUR PANEL BAWANG, KONDENSAT BAWANG &amp; PREESURE BOILER</t>
  </si>
  <si>
    <t>BREAK, KE TOILET, SOLAT SUBUH</t>
  </si>
  <si>
    <t>MONITORING BACKWASH WTP &amp; MONITOR KETERSEDIAAN AIR COOLING TOWER (ISI BILA LOW LEVEL)</t>
  </si>
  <si>
    <t xml:space="preserve">MONITOR CHILLER WASH OIL &amp; PENGECEKAN KETERCAPAIAN TEMPERATUR CHILLER WASH OIL KE PRODUKSI TTH </t>
  </si>
  <si>
    <t>MONITOR BACKWASH SAND FILTER &amp; IRON MANGANESE</t>
  </si>
  <si>
    <t>PENGISISAN FORM HARDCOPY PM</t>
  </si>
  <si>
    <t xml:space="preserve">SERAH TERIMA </t>
  </si>
  <si>
    <t>CEK STOK DEMIN DI LORONG WAREHAUSE DAN WHRM</t>
  </si>
  <si>
    <t>CEK/LIST WO YANG AKAN DI KERJAKAN &amp; PREPARE TOOL</t>
  </si>
  <si>
    <t>BERJALAN , MENYALAKAN CHILLER WASH OIL, MEMASTIKAN VALVE, MEMASTIKAN AIR CHILLER BERSIKULASI.</t>
  </si>
  <si>
    <t>PREPARE &amp; KORRDINASI DENGAN TIM PRODUKSI UNTUK MASAK BAWANG</t>
  </si>
  <si>
    <t>MONITORING AC TOLLING, PENGECEKAN TEGANGAN DAN ARUS, PENGECEKAN DIFFERENSIAL PRESSURE AHU</t>
  </si>
  <si>
    <t>PM/OPERASIONAL</t>
  </si>
  <si>
    <t>DRAIN HOUSING DUST FILTER TTH (MINGGUAN)</t>
  </si>
  <si>
    <t xml:space="preserve">PENGECEKAN KETERCAPAIAN TEMPERATUR CHILLER WASH OIL KE PRODUKSI TTH </t>
  </si>
  <si>
    <t>MONITOR KETERCAPAIAN TEMPERATUR PROSES BAWANG DAN MONITOR KONDENSAT</t>
  </si>
  <si>
    <t>BERJALAN ,KE WET SCRUBBER BUKA VALVE FEED WATER,ISI IPAL + PERFUME, SIRKULASIKAN SEBENTAR</t>
  </si>
  <si>
    <t>PENGGANTIAN KABEL SENSOR YANG PUTUS DI WASHING PNB</t>
  </si>
  <si>
    <t xml:space="preserve">PENGECEKAN STOPKONTAK TIMBANGAN 5 PNB BERMASALAH, STOP KONTAK OK </t>
  </si>
  <si>
    <t>REQUEST</t>
  </si>
  <si>
    <t>FOLLOW UP PAK HEYU ADA SUARA DENTUMAN DI DEKAT OFFICE WAREHUASE, POSSIBILITY SUARA STEAM HAMMER SAAT SUPPLY STEAM</t>
  </si>
  <si>
    <t>ISI SOLAR</t>
  </si>
  <si>
    <t>MONITORING BACKWASH DAN ISI IBC COOLING TOWER</t>
  </si>
  <si>
    <t xml:space="preserve">PENGISISAN FORM HARDCOPY PM </t>
  </si>
  <si>
    <t>SABTU</t>
  </si>
  <si>
    <t>PENGGANTIAN KARBON SHALLOT DAN TANKI VACUUM SHALLOT</t>
  </si>
  <si>
    <t>PM1, AIR DRYER 2</t>
  </si>
  <si>
    <t>PM2, GANTI SELANG OIL FILTER/OIL SPARATOR AIR DRYER 1</t>
  </si>
  <si>
    <t>PM3, KOMPRESSOR 3</t>
  </si>
  <si>
    <t>PM4, CLEANING STRAINER POMPA HWG 2</t>
  </si>
  <si>
    <t>ISSUE STOPKONTAK MATI PADA TIMBANGAN 5 PNB BERULANG, STANG STOPKONTAK DI DIPUTAR SEDANGKAN PENGUNCINYA BELUM DI KENCANGKAN JADI METAL BAGIAN DALAM TIDAK KONEK, SUDAH DI INFOKAN KE OPERATOR CARA PAKAINYA, DONE.</t>
  </si>
  <si>
    <t xml:space="preserve">REQUEST </t>
  </si>
  <si>
    <t>ISI HARD COPY PM</t>
  </si>
  <si>
    <t xml:space="preserve">ISI SOLAR DAN PENGECEKAN HASIL REGEN SOFTENER </t>
  </si>
  <si>
    <t>MONITOR BACKWASH SAND FILTER DAN IRON MANGANESE</t>
  </si>
  <si>
    <t xml:space="preserve">CLEANING AREA UTILITY </t>
  </si>
  <si>
    <t>PENGECEKAN VALVE WASH OIL, MENYALAKAN CHILLER , DAN MEMASTIKAN POMPA BERSIRKULASI</t>
  </si>
  <si>
    <t>OFF UTILITY ALL AREA (SEBAGIAN SUPPORT WWTP)</t>
  </si>
  <si>
    <t>MAPPING MCB HEATERTANK, TEST TRIP, STARTUP UTILITY &amp; WWTP (MCB HEATER TANK NUMPANG DI MCB ENGIINERING</t>
  </si>
  <si>
    <t>SENIN</t>
  </si>
  <si>
    <t>MEETING</t>
  </si>
  <si>
    <t>PENGECEKAN SUPPLY UTILITY &amp; CEK CLEAN WATER</t>
  </si>
  <si>
    <t>PENGECEKAN TEMPERATUR REAKTOR DAN KONDENSAT SHALLOT</t>
  </si>
  <si>
    <t>CLOSING UNLOADING PG SKC, BUANG TIRISAN PG</t>
  </si>
  <si>
    <t>BREAK SOLAT AHSAR</t>
  </si>
  <si>
    <t xml:space="preserve">AMBIL SAMPLE DEMIN KE 1&amp;2 SERTA PENGECEKAN KUALITAS AIR DEMIN </t>
  </si>
  <si>
    <t>PM 1, FAN BLOWER GENERATOR ROOM 1</t>
  </si>
  <si>
    <t>ISOMA</t>
  </si>
  <si>
    <t xml:space="preserve">PENGAMBILAN SAMPEL DEMIN KE 3 DAN PENGECEKAN KUALITAS </t>
  </si>
  <si>
    <t>MENCARI MCB MIXER TANKI 1 TON WASH OIL</t>
  </si>
  <si>
    <t>PM 1 (LANJUTAN)</t>
  </si>
  <si>
    <t>PM 2 FAN BLOWER GENERATOR ROOM 2</t>
  </si>
  <si>
    <t>HARD COPY BELUM</t>
  </si>
  <si>
    <t>PENGECEKAN STOK DEMIN</t>
  </si>
  <si>
    <t>JUMAT</t>
  </si>
  <si>
    <t>SUPPORT TEAM LEPAS STRAINER DAN PRV STEAM PNB &amp; SERAH TERIMA</t>
  </si>
  <si>
    <t>PENCATATAN UTILITY, PENGECEKAN AIR DAN PENGECEKAN SUPPLY UTILITY</t>
  </si>
  <si>
    <t xml:space="preserve">CLEANING AREA PNB DAN SIMPAN TOOL </t>
  </si>
  <si>
    <t>BELI DOP DAN DOUBLE NIPPLE KE MATRIAL</t>
  </si>
  <si>
    <t>-</t>
  </si>
  <si>
    <t>LEPAS NIPPLE LAMA PADA STRAINER, PASANG NIPLE BARU DAN PASANG DOP DI JALUR PIPA STEAM PATCHOULY</t>
  </si>
  <si>
    <t>PENGECEKAN GLOBE VALVE DI PLAFON WAREHAUSE DAN TRIAL BOILER UNTUK MEMASTIKAN KEBOCORAN PADA VALVE</t>
  </si>
  <si>
    <t>PM 3 POMPA FILLING PG 1</t>
  </si>
  <si>
    <t>CEK FILTER DAN PREPARE UNLOADING PG BRENNTAG</t>
  </si>
  <si>
    <t>BUKA VALVE DAN START POMPA UNLOADING PG</t>
  </si>
  <si>
    <t xml:space="preserve">PENGECEKAN CHILLER WASH OIL TEMPERATUR, DUST FILTER TTH </t>
  </si>
  <si>
    <t>MEMATIKAN CHILLER WASH OIL DAN PENCATATAN ENERGY CHILLER TTH</t>
  </si>
  <si>
    <t>SUPPORT JAMAI PERBAIKAN PIPA STEAM PATCHOULY, PASANG STRAINER, PASANG PRV, PENGELASAN GLOBE VALVE DAN TRIAL SUPPLY STEAM</t>
  </si>
  <si>
    <t>SETTING KABEL FLOATSWITCH LIMBAH PNB, ISSUE ALRM NYALA PADA LEVEL 2/3 TANKI</t>
  </si>
  <si>
    <t>CLOSING PEKERJAAN PT JAMAI DAN MEMBERESKAN TOOL</t>
  </si>
  <si>
    <t>PREPARE MASAK BAWANG DAN START MASAK</t>
  </si>
  <si>
    <t>BREAK SOLAT ASHAR</t>
  </si>
  <si>
    <t>PENGISIAN SOLAR, AMBIL SAMPLE DEMIN DAN PENGECEKAN KUALITAS AIR DEMIN</t>
  </si>
  <si>
    <t>PENGECEKAN JALUR HIDRAN AKRENA ADA MAINPUMP HYDRANT NYALA, INDIKASI KEBOCORAN</t>
  </si>
  <si>
    <t>PENGECEKAN STOK DEMMIN KE AREA WAREHAUSE</t>
  </si>
  <si>
    <t>OFF BOILER/ SUPPLY PATCHOULY</t>
  </si>
  <si>
    <t>GANTI TABUNG NITROGEN PNB</t>
  </si>
  <si>
    <t>PENGECEKAN SUPPLY UTILITY DAN LEVEL CELAN WATER</t>
  </si>
  <si>
    <t>START POMPA COOLING PATCHOULY</t>
  </si>
  <si>
    <t>PENGECEKAN TEMPERATUR AC TOLLING DAN PENGECEKAN LAMPU TOLLING YANG MATI</t>
  </si>
  <si>
    <t>REQUEST USER</t>
  </si>
  <si>
    <t>PENGGANTIAN KARBON IBC KONDENSAT SHALLOT DAN TANKI VACUUM SHALLOT, BUANG LIMBAH KARBON KE B3</t>
  </si>
  <si>
    <t>TIMBANG GARAM DAN REGEN SOFTENER BOILER/HWG</t>
  </si>
  <si>
    <t xml:space="preserve">CLOSING PATCHOULY, PASTIKAN TEMPERATUR DIBAWAH 35 DERAJAT, MATIKAN POMPA SIRKULASI COOLING, SUPPLY NITROGEN, TUTUP VALVE POMPA VACUUM, BUKA VALVE NITROGRN, MATIKAN MIXER PATCHOULY PASTIKAN JALUR PATCHOULI TERTUTUP, MATIKAN SEMUA SUPPLY UTILITY KE PATCHOULY. </t>
  </si>
  <si>
    <t>BREAK, SOLAT ISHA</t>
  </si>
  <si>
    <t>PENGECEKAN AC PRODUKSI TTH ADA KELUHAN TERASA HANGAT.</t>
  </si>
  <si>
    <t>SUPPORT TIM PRODUKSI PNB MONITORING TRANSFER DPG ADA DEVIASI 6 KILO</t>
  </si>
  <si>
    <t>PREPARE TOOL, PENGGANTIAN LAPU TOLLING, 3 PENGAGANTIAN LAMPU, RUANG REPACK, SAMPLING TOLLING DAN PRODUKSI TOLLING</t>
  </si>
  <si>
    <t>WO REQUEST</t>
  </si>
  <si>
    <t>PENGECEKAN TEMPERATUR AC PRODUKSI TTH, PENCATATAN DAN LAPORAN ENRGY, PENCATATAN PAU</t>
  </si>
  <si>
    <t>PM 1</t>
  </si>
  <si>
    <t>PENGISIAN SOLAR &amp; SAMPLING AIR HASIL REGENERASI</t>
  </si>
  <si>
    <t>MONITOR BACKWASH CELAN WATER/WTP</t>
  </si>
  <si>
    <t xml:space="preserve">BREAK, SHOLAT SUBUH,  KETOILET </t>
  </si>
  <si>
    <t xml:space="preserve">PEMASANGAN TUTUP TUTUP LAMPU YANG LEPAS DI AREA TOLLING </t>
  </si>
  <si>
    <t xml:space="preserve">WO REQUEST </t>
  </si>
  <si>
    <t>SURVEY AERA PRODUKSI APAKAH PEMAKAIAN UTILITY SUDAH SELESAI ATAU BELUM</t>
  </si>
  <si>
    <t>CLOSE  WO DAN ISI HARD COPY PM</t>
  </si>
  <si>
    <t xml:space="preserve">PENGECEKAN STOK DEMIN </t>
  </si>
  <si>
    <t>MENYALAKAN CHILLER WASH OIL DAN MEMASTIKAN VALVE TERBUKA DAN AIR BERSIRKULASI</t>
  </si>
  <si>
    <t>OFF SUPPLY UTILITY ALL AREA</t>
  </si>
  <si>
    <t>STARTUP UTILITY</t>
  </si>
  <si>
    <t>PENCATATAN UTILITY DAN PENGECEKAN CLEAN WATER</t>
  </si>
  <si>
    <t>KALIBRASI PH DAN KONDUKTIVITY METER</t>
  </si>
  <si>
    <t>PENGECEKAN KOMPRESSOR 3 TIDAK RUNNING LOADED</t>
  </si>
  <si>
    <t>MAINTENANCE</t>
  </si>
  <si>
    <t>BRIEFING</t>
  </si>
  <si>
    <t>PLANJUT PENGECEKAN KOMPRESSOR 3, TRIAL, DONE</t>
  </si>
  <si>
    <t>PENGENCANGAN SELANG INLET KARCHER WASHING IBC, SEAL MELOROT DAN LONGGAR, KLEM DI POSISIKAN DAN DI KENCANGKAN</t>
  </si>
  <si>
    <t xml:space="preserve"> MAINTENANCE REQUEST</t>
  </si>
  <si>
    <t>RESET RELAY PG DI HMI TIDAK BISA DI RESET DI PANEL TANKFARM TRIAL, DONE</t>
  </si>
  <si>
    <t>PM SANITARY PUMP 2</t>
  </si>
  <si>
    <t>PENGGANTIAN CATRUDGE FILTER DAN CLEANING HOUSING FILTER AREA  WASHING IBC</t>
  </si>
  <si>
    <t>SUPPLY BOILER, DRAIN BOILER, DRAIN HEADER, DRAIN BEFORE REACTOR, TURN ON COOLING TOWER, DRAIN AFTER REACTOR</t>
  </si>
  <si>
    <t>PENGAMBILAN DEMIN 1 DAN PENGECEKAN KUALITAS</t>
  </si>
  <si>
    <t>MEMBUAT LARUTAN NASCO</t>
  </si>
  <si>
    <t>PENGECEKAN TEMPERATUR AC PRODUKSI TTH, PNCATATAN ENERGY, DAN MONITORING CHILLER WASH OIL, OFF WASH OIL</t>
  </si>
  <si>
    <t>GANTI CATRUDGE FILTER WASHING PNB DAN CLEANING HOUSING FILTER</t>
  </si>
  <si>
    <t>RESET AC PNB BARU DAN MONITORING</t>
  </si>
  <si>
    <t>MONITORING TEMPERATUR REAKTOR SHALLOT DAN LEVEL KONDENSAT</t>
  </si>
  <si>
    <t>PENGAMBILAN SAMPLE DEMIN DAN PENCATATAN KUALITAS</t>
  </si>
  <si>
    <t>CLOSE WO PM + HARD COPY</t>
  </si>
  <si>
    <t>PENGECEKAN LEVEL TANKI PG BRENNTAG DAN SKC ,REQUEST BU AVELIA</t>
  </si>
  <si>
    <t>SELASA</t>
  </si>
  <si>
    <t>SERAH TERIMA DARI SHIFT SEBELUMNYA CEK WO OPEN</t>
  </si>
  <si>
    <t>KALIBRASI KONDUKTIVITY METER DAN PH METER</t>
  </si>
  <si>
    <t>GANTI TABUNG CA QC TTH</t>
  </si>
  <si>
    <t>PM 1 POMPA SUBMRSIBLE MANAGEMENT BUILDING</t>
  </si>
  <si>
    <t>KAIZEN</t>
  </si>
  <si>
    <t>PENGECEKAN SAFETY VALVE KOMPRESSED AIR, UJI RIKSA BERIKUTNYA 1 JUNI 2026</t>
  </si>
  <si>
    <t>UNLOADING PG SKC</t>
  </si>
  <si>
    <t>PM/PENGECEKAN PRESSURE GAUGE BAK TUMPAHAN, TIDAK BISA DILAKUKAN KARENA MENHOLE DI TUTUP PERMANEN DAN TIDAK ADA SAKLAR</t>
  </si>
  <si>
    <t>PENGECEKAN TEMPERATUR AC PRODUKSI TTH, PENCATATAN ENERGY, DAN MONITORING CHILLER WASH OIL, OFF WASH OIL DAN MONITORING DUST FILTER</t>
  </si>
  <si>
    <t>FOTO FOTO DIA REA WH TOLLING</t>
  </si>
  <si>
    <t>PM 2 POMPA SUBMERSIBL TTH BARU</t>
  </si>
  <si>
    <t>PENGAMBILAN SAMPLE DEMIN DAN PENGECEKAN KUALITAS</t>
  </si>
  <si>
    <t>HARDCOPY BELUM</t>
  </si>
  <si>
    <t>CEK STOK DEMIN</t>
  </si>
  <si>
    <t>RABU</t>
  </si>
  <si>
    <t xml:space="preserve">SERAH TERIMA DARI SHIFT SEBELUMNYA DAN CEK WO OPEN </t>
  </si>
  <si>
    <t>CEK LEVEL TANKI PG 100MT BRENNTAG DAN SKC REQUEST BU AVELIA</t>
  </si>
  <si>
    <t>SUPPORT MASAK BAWANG</t>
  </si>
  <si>
    <t>SUPPORT SHOUTERN CHEMICAL PENGAMBILAN DAN PENGECEKAN SAMPLE AIR</t>
  </si>
  <si>
    <t>PENGEAMBILAN SAMPLE DEMIN DAN PENGECEKAN KUALITAS</t>
  </si>
  <si>
    <t>REFILL LARUTAN NASCO</t>
  </si>
  <si>
    <t xml:space="preserve">PM 2 </t>
  </si>
  <si>
    <t>SUPPORT MIURA PENGECEKAN FEED WATER BOILER</t>
  </si>
  <si>
    <t>INPEKSI</t>
  </si>
  <si>
    <t>PENGAMBILAN SAMPLE DEMIN 2, PENGECEKAN STOK DEMIN &amp; PENGECEKAN KUALITAS</t>
  </si>
  <si>
    <t xml:space="preserve">CLOSE WO PM </t>
  </si>
  <si>
    <t>SUPPORT JAMAI SURVEY AREA BAWANG UNTUK PEMINDAHAN TEMPORARY PIPA PIPA UTILITY</t>
  </si>
  <si>
    <t>PROJECT</t>
  </si>
  <si>
    <t>KAMIS</t>
  </si>
  <si>
    <t>PEMASANGAN KISI KISI VENTILASI RUANG BLOWER STP</t>
  </si>
  <si>
    <t>SUPPLAY STEAM PATCHOULY</t>
  </si>
  <si>
    <t>GANTI FILTER DEMIN 20 MICRON</t>
  </si>
  <si>
    <t>MEETING ENERGY MONITORING</t>
  </si>
  <si>
    <t>UNLOADING DPG BRENNTAG DAN TRIAL LEVEL SWITCH</t>
  </si>
  <si>
    <t>SUPPORT TEAM PNB TRANSFER DPG</t>
  </si>
  <si>
    <t>PENGECEKAN STOP KONTAK QC PNB</t>
  </si>
  <si>
    <t>CLOSING UNLOADING DPG</t>
  </si>
  <si>
    <t>PENGECEKAN SAMPLE DEMIN CONDUCTIVITY REQUEST PAK GRAHA</t>
  </si>
  <si>
    <t>PENDAMPINGAN JAMAI PENGENCANGAN BAUD &amp; TRIAL BLOWER STP</t>
  </si>
  <si>
    <t>SERAH TERIMA DARI SHIFT 3</t>
  </si>
  <si>
    <t>DRAIN TANKI ANGIN KARENA AUTODRAIN TIDAK MAKSIMAL</t>
  </si>
  <si>
    <t>KALIBRASI KONDUKTIVITI METER DAN PH METER</t>
  </si>
  <si>
    <t>DRAIN BOILER 1</t>
  </si>
  <si>
    <t>PENGGANTIAN TABUNG GAS CA QC TTH</t>
  </si>
  <si>
    <t>SUPPORT MASAK BAWANG DAN HEATING PATCHOULY</t>
  </si>
  <si>
    <t>GANTI TABUNG HYDROGEN QC TTH</t>
  </si>
  <si>
    <t>PENGAMBILAN SAMPLE DEMIN 1 DAN PENGECEKAN KUALITAS</t>
  </si>
  <si>
    <t>ISHOMA, (JUMAT'AN)</t>
  </si>
  <si>
    <t>P,M</t>
  </si>
  <si>
    <t xml:space="preserve">PENDAMPINGAN JAMAI SURVEY KELISTRIKAN AREA BAWNG YG AKAN DI PINDAH. </t>
  </si>
  <si>
    <t>MENYALAKAN WET SCRUBBER</t>
  </si>
  <si>
    <t>MENYALAKAN CHILLER VACUUM PATCHOULY</t>
  </si>
  <si>
    <t xml:space="preserve">MENYALAKAN BOILER </t>
  </si>
  <si>
    <t>PREPARE EMBER, PINJAM WWTP, MEMBUAT LARUTAN NASCO FE, 2 LITER, CLEANING AREA TANKI NASCO</t>
  </si>
  <si>
    <t>PENDAMPINGAN TIM PAK HERI SERVICE AC, DAN IZIN KE AREA OWNER</t>
  </si>
  <si>
    <t>MENYALAKAN POMPA VACUUM PATCHOULY</t>
  </si>
  <si>
    <t>SUPERVISI CITRA ADLI, SURVEY UNTUK PEMBUATAN GUARDING FILTER PRESS BARU DAN LAMA, SURVEY UKURAN PANEL POMPA SOLAR HYDRANT, SURVEY PIPA DRAIN WET SCRUBBER YANG MELENDOY, SURVEY RENCANA PEMASANGAN CHECK VALVE DI JALUR PIPA BUANGAN KONDENSSAT BOILER.</t>
  </si>
  <si>
    <t>OFF CHILLER EMULSI</t>
  </si>
  <si>
    <t>PENGECEKAN KANOPI MODULR RSDC YANG ADA TETESAN AIR</t>
  </si>
  <si>
    <t>PENGECEKAN HOT WATER KECIL, CEK PRESSURE, CEK KE PRODUKSI GANTI NOZLE.</t>
  </si>
  <si>
    <t>CM</t>
  </si>
  <si>
    <t>PENGAMBILAN SAMPLE DEMIN 1 DAN 2 , SERTA PENGECEKAN KUALIATS</t>
  </si>
  <si>
    <t>ON CHILLER EMULSI</t>
  </si>
  <si>
    <t>BREAK 2</t>
  </si>
  <si>
    <t xml:space="preserve">MONITORING LINTAS MANDIRI TEKNIK </t>
  </si>
  <si>
    <t>SUPPORT PRODUKSI PNB TRANSFER PG</t>
  </si>
  <si>
    <t>SOLAT MAGRIB + MAKAN</t>
  </si>
  <si>
    <t>ISI HARDCOPY MAINTENNACE TASK</t>
  </si>
  <si>
    <t>AMBIL SAMPLE DEMIN 3 DAN PENGECEKAN KUALITAS</t>
  </si>
  <si>
    <t>PENGECEKAN AIR DRYER, DAN DRAIN TANKI ANGIN</t>
  </si>
  <si>
    <t>OFF POMPA VACUUM, OFF CHILLER VACUUM, KOMUNIKASI DENGAN TIM PE UNTUK PREPARE UTILITY SUPPORT PATCHOULY UNTUK HARI SENIN</t>
  </si>
  <si>
    <t>PENGECEKAN STOK DEMIN DI AREA WAREHAUSE</t>
  </si>
  <si>
    <t>SERAH TERIMA  TROLLY DAN COVER POMPA DIAGPRAM DARI PA PRI</t>
  </si>
  <si>
    <t>BERJALAN, PENGECEKAN/MEMASTIKAN SUPLAI UTILITY LANCAR &amp; CEK CLEAN WATER TANK</t>
  </si>
  <si>
    <t>PENGECEKAN STRAINER POMPA VACUUM PATCHOULY, SUSAH DI BUKA LANJUT MALAM BERIKUTNYA</t>
  </si>
  <si>
    <t xml:space="preserve">BERKOORDINASI DENGAN TIM PRODUKSI TERKAIT SUPPLY CHILLER WASH OIL, CEK VALVE KEDALAM PRODUKSI DAN MENYALAKAN CHILLER </t>
  </si>
  <si>
    <t>MENCARI BAHAN DAN PEMBUATAN TUTUP TANKI KARBON KONDENSAT SHALLOT</t>
  </si>
  <si>
    <t>PM/WO</t>
  </si>
  <si>
    <t>BERJALAN DARI KONDENSAT SHALLOT KE POMPA BELAKANG STP DAN LANJUT PM 1</t>
  </si>
  <si>
    <t>BREAK/SHOLAT</t>
  </si>
  <si>
    <t>CLOSE WO FIIX DAN ISI FORM HARD COPY PM</t>
  </si>
  <si>
    <t>PENGECEKAN TEMPERATUR WASH OIL DI AREA PRODUKSI</t>
  </si>
  <si>
    <t>MONITORING PRESSURE WTP, UNTUK MEMASTIKAN PROGRAM AUTO BACKWASH JALAN ATAU TIDAK</t>
  </si>
  <si>
    <t>GANTI KLEM PIPA KONDENSAT SHALLOT YANG PUTUS/RUSAK KARENA KARAT</t>
  </si>
  <si>
    <t>PENGECEKAN STOK DEMIN AREA WAREHAUSE</t>
  </si>
  <si>
    <t>SAMPLING AIR HASIL REGEN SOFTENER</t>
  </si>
  <si>
    <t>PENGECEKAN SUPPLY ANGIN KE WWTP</t>
  </si>
  <si>
    <t xml:space="preserve">PM REGULATOR 1 </t>
  </si>
  <si>
    <t>PM REGULATOR 2</t>
  </si>
  <si>
    <t>PM POMPA SUBMERSIBLE 1</t>
  </si>
  <si>
    <t>PM POMPA SUBMERSIBLE 2</t>
  </si>
  <si>
    <t>PACKING COASTIK SODA</t>
  </si>
  <si>
    <t>PM HOUSING FILTER</t>
  </si>
  <si>
    <t>BREAK SOLAT SUBUH</t>
  </si>
  <si>
    <t>PINDAH GARAM KE DRUM</t>
  </si>
  <si>
    <t>PENGECEKAN STOK DEMIN AREA WAREHAUSE DAN SAMPLING HASIL REGEN SOFTENER</t>
  </si>
  <si>
    <t>MONITOR DAIKIN TRIAL AC QC PNB</t>
  </si>
  <si>
    <t xml:space="preserve">DRAIN KONDRNSAT SHALLOT </t>
  </si>
  <si>
    <t>PANGGILAN TIM FLAVOUR, SUPPORT HOUASING FILTER REYOT</t>
  </si>
  <si>
    <t>PM AIR PURIFIRE QC TTH</t>
  </si>
  <si>
    <t>PM BLOWER 2 WWTP</t>
  </si>
  <si>
    <t>GANTI FILTER WTP</t>
  </si>
  <si>
    <t>BREAK SHOLAT SUBUH</t>
  </si>
  <si>
    <t>SUPPLY NITROGEN PROD. PNB</t>
  </si>
  <si>
    <t xml:space="preserve">MONITORING AC QC </t>
  </si>
  <si>
    <t>DRAIN AIR WET SCRUBBER</t>
  </si>
  <si>
    <t>PENGECEKAN KETERCAPAIAN TEMPERATUR CHILER WAHS OIL</t>
  </si>
  <si>
    <t>CLEANING LUBERAN AIR WET SCRUBBER</t>
  </si>
  <si>
    <t xml:space="preserve">PRE-COOLING, BERKOORDINASI DENGAN TIM PRODUKSI TERKAIT SUPPLY CHILLER WASH OIL, CEK VALVE DAN BUKA VALVE 3 TON KEDALAM PRODUKSI DAN MENYALAKAN CHILLER. </t>
  </si>
  <si>
    <t>DRAIN KONDRNSAT SHALLOT, TUTUP VALVE JALUR WET SCRUBBER</t>
  </si>
  <si>
    <t>PENGECEKAN TEMPERATUR CHILLER TTH DIDALAM PRODUKSI, PENCATATAN DAN LAPORAN ENERGY CHILLER</t>
  </si>
  <si>
    <t>SUPPORT TEAM PNB, RESET ALRM AND TRANSFER</t>
  </si>
  <si>
    <t>PM BLOWER 1</t>
  </si>
  <si>
    <t>REGISTRASI EQUIPMENT</t>
  </si>
  <si>
    <t>PENGECEKAN AC QC, AC WH TOLLING,</t>
  </si>
  <si>
    <t>PENFGISIAN SOLAR, DAN PENCATATAN</t>
  </si>
  <si>
    <t>CLOSE WO DAN  ISI HARDCOPY</t>
  </si>
  <si>
    <t>PRE-COOLING, BERKOORDINASI DENGAN TIM PRODUKSI TERKAIT SUPPLY CHILLER WASH OIL, CEK VALVE KEDALAM PRODUKSI, MENYALAKAN CHILLER DAN CEK SIRKULASI POMPA</t>
  </si>
  <si>
    <t>DRAIN KONDENSAT SHALLOT</t>
  </si>
  <si>
    <t>KOORDINASI PENGAMBILAN DEMIN DENGAN TIM WAREHAUSE</t>
  </si>
  <si>
    <t>SUPPLY DEMIN 1 (PLUS CLOSING)</t>
  </si>
  <si>
    <t>TAGGING VALVE DAYTANK</t>
  </si>
  <si>
    <t xml:space="preserve">SUPPLY DEMIN 2 (PLUS CLOSING) </t>
  </si>
  <si>
    <t>TAGING VALVE DAYTANK</t>
  </si>
  <si>
    <t>SUPPLY DEMIN 3 (PLUS CLOSING)</t>
  </si>
  <si>
    <t xml:space="preserve">PENGECEKAN TEMPERATUR CHILLER WASH OIL </t>
  </si>
  <si>
    <t>MONITORING AC WH TOLLING</t>
  </si>
  <si>
    <t>CLOSE WO DAN ISI HARD COPY</t>
  </si>
  <si>
    <t>SAMPLING HASIL REGENERASI SOFTENER DAN SUPPLY N2 PNB</t>
  </si>
  <si>
    <t>MONITOR DAN BERKOORDINASI DENGAN TI PAK HERI TERKAIT PRBAIKAN AC WH TOLLING.</t>
  </si>
  <si>
    <t>PANGGILAN TEAM PNB HOUSING FILTER MELEYOT</t>
  </si>
  <si>
    <t>PENGECEKAN</t>
  </si>
  <si>
    <t>PENGECEKAN POMPA DIAPRAGMA SEDIMENTASI 1 WWTP</t>
  </si>
  <si>
    <t>GANTI SUPPORT HOUSING FILTER PNB</t>
  </si>
  <si>
    <t>GANTI SUPPORT HOUSING FILTER SHALLOT</t>
  </si>
  <si>
    <t>SUPPORT TEAM MAINTENANCE CLOSING TEMPERATUR TEST DI AREA SHALLOT</t>
  </si>
  <si>
    <t>ISI 2 BOS DAN 1 I2C</t>
  </si>
  <si>
    <t>REGISTRDI EQUIPMENT</t>
  </si>
  <si>
    <t>MODIF SUPPORT DAN PENGECATAN UNTUK SUPPORT HOUSING FILTER CADANGAN</t>
  </si>
  <si>
    <t>CLOSE WO FIIX</t>
  </si>
  <si>
    <t>OFF UTILITY DAN STARUP CHILLER WASH OIL</t>
  </si>
  <si>
    <t>PM ON OFF VALEVE</t>
  </si>
  <si>
    <t>BREAK ASHAR</t>
  </si>
  <si>
    <t>PEREKATAN KONDUIT KABEL AIR PURIFIRE QC TTH</t>
  </si>
  <si>
    <t xml:space="preserve">PENGAMBILAN SAPMLE DEMIN 1 </t>
  </si>
  <si>
    <t>SUPPORT CLOSING MASAK BAWANG</t>
  </si>
  <si>
    <t>GANTI TABUNG GAS CA QC TTH</t>
  </si>
  <si>
    <t>PENGEEKAN SUPPORT TANKMKAPUR WWTP YG RUSAK FOLLOWUP CITRA ADLI</t>
  </si>
  <si>
    <t>PENGAMBILAN SAMPLE DEMIN 2</t>
  </si>
  <si>
    <t>KONEK KABEL MOTOR POMPA VACUMM SHALLOT, TRIAL, CLEANING, PM</t>
  </si>
  <si>
    <t>PENGISIAN SOLAR, CLEANING ASH HWG, DRAIN TANGKI ANGIN</t>
  </si>
  <si>
    <t>MONITORING AC QC</t>
  </si>
  <si>
    <t xml:space="preserve">BERJALAN, PENGECEKAN/MEMASTIKAN SUPLAI UTILITY LANCAR &amp; CEK CLEAN WATER TANK, SAMPLING AIR REGENERASI SOFTENER. </t>
  </si>
  <si>
    <t>STARTUP WET SCRUBBER</t>
  </si>
  <si>
    <t>ADD TASK GROUP</t>
  </si>
  <si>
    <t xml:space="preserve">FOLLOWUP TETESAN DI QC PNB, MODIF NAMPAN UNTUK MENADAHI TETESAN DARI AHU SUPAYA AIR TETESAN MASUK KE JAKUR DRAIN </t>
  </si>
  <si>
    <t>PENGAMBILAN SAMPLE DEMIN 1</t>
  </si>
  <si>
    <t>UNLOADING DPG BRENNTAG</t>
  </si>
  <si>
    <t>PENGECEKAN TEMPERATUR CHILLER WASH OIL, PENCATATAN ENERGY CHILLER TTH DAN MONITORING DUST FILTER, OFF CHILLER WASH OIL</t>
  </si>
  <si>
    <t>PENGECEKAN LEVEL LEVEL TANKI ISOTANK REQUEST BU AVELIA</t>
  </si>
  <si>
    <t>AMBIL SAMPLE DEMIN 2</t>
  </si>
  <si>
    <t>FOLLOWUP AC RUANG RETAIN DAN SENSORY QC TTH PANAS, PENGECEKA KE ATAP, PENGECEKAN DUMPER DAN UNIT, FOLLOWUP KE DAIKIN</t>
  </si>
  <si>
    <t>BREAK AHSAR</t>
  </si>
  <si>
    <t>PENGISIAN SOLAR</t>
  </si>
  <si>
    <t>FOLLOW UP AC SAMPLING PNB MATI</t>
  </si>
  <si>
    <t>ISI AIR COOLING TOWER</t>
  </si>
  <si>
    <t>REGEN DEMIN</t>
  </si>
  <si>
    <t>LANJUT REGEN DEMIN</t>
  </si>
  <si>
    <t>MONITOR MASAK BAWANG</t>
  </si>
  <si>
    <t>JAMAI SURVEY POMPA VACUUM SHALLOT</t>
  </si>
  <si>
    <t>UNLOADING PG</t>
  </si>
  <si>
    <t>PENGECEKAN TEMPERATUR PRODUKSI TTH DAN WASH OIL, PENCATATAN CHILLER TTH, PENGECEKAN MONITORING DUST FILTER DAN MEMATIKAN CHILLER WASHOIL</t>
  </si>
  <si>
    <t>MONITORING DAN PENDAMPINGAN TIM DAIKIN</t>
  </si>
  <si>
    <t>CLOSING MASAK BAWANG</t>
  </si>
  <si>
    <t>SUPPLY CHILLER EMULSI</t>
  </si>
  <si>
    <t>PENDAMPINGAN TIM LINTAS MANDIRI SERVICE AC SAMPLING PNB</t>
  </si>
  <si>
    <t>PENGAMBILAN SAMPLE DEMIN 3</t>
  </si>
  <si>
    <t>LANJUT PENDAMPINGAN TIM DAIKIN</t>
  </si>
  <si>
    <t>LANJURT PENDAMPINGAN TIM LINTAS MANDIRI PERBAIKAN AC SAMPLING</t>
  </si>
  <si>
    <t>SURVEY RESTEKNUS</t>
  </si>
  <si>
    <t>ISI SOLAR PENGECEKAN SUPPLY UTILITY, SOLAT MAGRIB.</t>
  </si>
  <si>
    <t>SABU KOJO</t>
  </si>
  <si>
    <t>MONITORING LINTAS MANDIRI SERVICE AC SAMPLING PNB, DONE UNIT SUDAH RUNNING</t>
  </si>
  <si>
    <t>ADD SCHEDULE MAINTENANCE MOTOR HYDRANT PUMP</t>
  </si>
  <si>
    <t>SUPPORT LOTOTO SERVICE EQUIPMENT TEAM QC PNB</t>
  </si>
  <si>
    <t>PENGAMBILAN SAMPLE DEMIN 4</t>
  </si>
  <si>
    <t>PENGECEKAN SETOK DEMIN</t>
  </si>
  <si>
    <t>PENGECEKAN POPMPA SUBMERSIBLE WASHING PNB TIDAK MAU MATI, DILAKUKAN TRIAL ON OFF PELAMPUNG, SUDAH OK</t>
  </si>
  <si>
    <t>PENGECEKAN/MEMASTIKAN SUPLAI UTILITY LANCAR &amp; CEK CLEAN WATER TANK, DAN KOORDINASI PENGAMBILAN DEMIN</t>
  </si>
  <si>
    <t>PENGECEKAN TEMPERATUR CHILLLER WASH OIL, 
CHILLER TTH DAN PENCATATAN ENERGY, MONITORING DUST COLLECTOR, DAN MEMATIKAN CHILLER WASH OIL</t>
  </si>
  <si>
    <t>CLOSING PG SKC</t>
  </si>
  <si>
    <t xml:space="preserve">PENGAMBILAN SAMPLE DEMMIN 1 DAN 2 </t>
  </si>
  <si>
    <t>PENDAMPINGAN TIM DAIKIN PENGECEKAN AC RUANG RETAIN</t>
  </si>
  <si>
    <t xml:space="preserve">PENGAMBILAN SAMPLING </t>
  </si>
  <si>
    <t>Serah terima &amp; cek wo pm</t>
  </si>
  <si>
    <t>Dokumentasi &amp; list grounding bounding flamable equipment (area utility, genset, tanki solar, diesel engine room)</t>
  </si>
  <si>
    <t>Close WO PM HVAC Vendor on progress</t>
  </si>
  <si>
    <t>monitoring utility, clean water pump room, demin, cek power meter dust collector 2 &amp; panel power ac segregasi power meter tidak bisa dikonek ke kwh monitoring.</t>
  </si>
  <si>
    <t>pm 1, prepare tool,  pm pressure gauage pompa supply chiller cooling patchouly, lepas pressure gauge, cleaning glass &amp; di semprot air gun.</t>
  </si>
  <si>
    <t>prepare garam dari wwtp &amp; tuang garam ke drum softener , tambah air, aduk &amp; diamkan sampai larut /homogen.</t>
  </si>
  <si>
    <t xml:space="preserve">Supply Nitrogen request PnB  </t>
  </si>
  <si>
    <t>follow up team wwtp monitoring tanki oli hydrolik filterpress 2 karena ada issue rembes, sudah tidak ada rembes</t>
  </si>
  <si>
    <t>pengecekan level tanki nasco fe level 30% &amp; cek discharge</t>
  </si>
  <si>
    <t xml:space="preserve">drain tanki angin manual </t>
  </si>
  <si>
    <t xml:space="preserve">Istirahat </t>
  </si>
  <si>
    <t>dokumentasi &amp; pencatatan pau &amp; kwh chiler tth</t>
  </si>
  <si>
    <t>start regen softener</t>
  </si>
  <si>
    <t>pm 2 motor cooling tower 2</t>
  </si>
  <si>
    <t xml:space="preserve">pm 3 housing filter emulsi, body baret bekas lepas pasang karena susah lepas dan susah pasang, cek watermur, valve &amp; venting </t>
  </si>
  <si>
    <t xml:space="preserve">pm 4 housing filter wash oil, body ok, cek watermur, valve &amp; venting </t>
  </si>
  <si>
    <t xml:space="preserve">pm 5 housing filter reaktor shallot, body ok, cek watermur, valve &amp; venting </t>
  </si>
  <si>
    <t xml:space="preserve">pm 6 housing filter washing shallot, body ok, cek watermur, valve &amp; venting </t>
  </si>
  <si>
    <t>koordinasi dengan team forklip, pemindahan &amp; prepare NAOH ke area wet scrubber</t>
  </si>
  <si>
    <t>break solat subuh</t>
  </si>
  <si>
    <t>backwash sand filter &amp; iron manganese</t>
  </si>
  <si>
    <t>pm 7 maghnehelic ahu qc odorless duct</t>
  </si>
  <si>
    <t xml:space="preserve">pm 8 maghnehelic ahu qc odorless </t>
  </si>
  <si>
    <t>pm 9 maghnehelic ante room qc tth odorless</t>
  </si>
  <si>
    <t xml:space="preserve">cek stok demin </t>
  </si>
  <si>
    <t>close wo pm</t>
  </si>
  <si>
    <t>serah terima ke shift 1 + brirfing</t>
  </si>
  <si>
    <t>lanjut brirfing, support operasional</t>
  </si>
  <si>
    <t>AHIK</t>
  </si>
  <si>
    <t>Over shift 1 ke shift 2</t>
  </si>
  <si>
    <t>Discusscion</t>
  </si>
  <si>
    <t>Berjalan ke tank farm untuk melihat flowmeter unloading raw matrial PG SKC</t>
  </si>
  <si>
    <t>Walk</t>
  </si>
  <si>
    <t>Closing unloading PG SKC ( meniriskan sisa PG dari selang ke ember, merapikan selang tirisan &amp; merapikan selang flexible ke tempatnya,membuang sampah APD, memindahkan tirisan PG dari ember ke jerrycan )</t>
  </si>
  <si>
    <t xml:space="preserve">Berjalan dari tank farm ke STP </t>
  </si>
  <si>
    <t>Bantu mas dimas temuan PM. BLOWER STP no 1 ( kurangi oli blower )</t>
  </si>
  <si>
    <t>Perapihan alat kerja</t>
  </si>
  <si>
    <t>5R</t>
  </si>
  <si>
    <t>Berjalan ke musollah &amp; sholat ashar</t>
  </si>
  <si>
    <t>Ibadah</t>
  </si>
  <si>
    <t>Pengecekan posisi exhaust QC. lab TTH</t>
  </si>
  <si>
    <t xml:space="preserve">pengecekan pressure kompresor, temperatur &amp; Pressure HWG </t>
  </si>
  <si>
    <t>ambil sample demin di warehouse</t>
  </si>
  <si>
    <t>Berjalan dr warehouse ke Lab wwtp</t>
  </si>
  <si>
    <t>sampling qualitas water demin ( conductifity &amp; PH )</t>
  </si>
  <si>
    <t>Berjalan ke mushollah &amp; sholat magrib</t>
  </si>
  <si>
    <t>Istirahat makan</t>
  </si>
  <si>
    <t>Buka valve water demin</t>
  </si>
  <si>
    <t>monitoring blower no-1 dari kebocoran oli ( sigh glass dan packing )</t>
  </si>
  <si>
    <t>Monitoring</t>
  </si>
  <si>
    <t>ambil sample IPA dari produksi untuk cek PH ( PH 7.08 )</t>
  </si>
  <si>
    <t>Ambil sample wet scrubber untuk cek PH ( PH 8.41 )</t>
  </si>
  <si>
    <t>Pengisian tangki solar boiler / HWG</t>
  </si>
  <si>
    <t>PM. Pompa submersible limbah tooling</t>
  </si>
  <si>
    <t>PM. Pompa submersible limbah prod TTH</t>
  </si>
  <si>
    <t xml:space="preserve">Cek stok water demin di area warehouse </t>
  </si>
  <si>
    <t>Buat laporan stok water demin ,Laporan WO closed, Admin Fix, Laporan kerjaan utility via WA group</t>
  </si>
  <si>
    <t>berjalan ke tank farm , Closing unloading PG SKC ( meniriskan sisa PG dari selang ke ember, merapikan selang tirisan &amp; merapikan selang flexible ke tempatnya,membuang sampah APD, memindahkan tirisan PG dari ember ke jerrycan )</t>
  </si>
  <si>
    <t>Berjalan ambil sample demin di warehouse</t>
  </si>
  <si>
    <t>Berjalan dr warehouse ke Lab wwtp dan analisa quality</t>
  </si>
  <si>
    <t>support penggantian lampu diruang sensory qc.Lab TTH</t>
  </si>
  <si>
    <t>Correective Plan</t>
  </si>
  <si>
    <t>support team facility alarm building</t>
  </si>
  <si>
    <t>Correective Unplanned</t>
  </si>
  <si>
    <t>Support PT Jon Merrel trouble shoot alarm MCFA</t>
  </si>
  <si>
    <t>Closed WO pembuatan support acrilic untuk sample limbah WWTP baru</t>
  </si>
  <si>
    <t>Berjalan dari tank farm ke Demin room</t>
  </si>
  <si>
    <t>Berjalan KE Tank cek level PG Brentag</t>
  </si>
  <si>
    <t>Sholat Ashar</t>
  </si>
  <si>
    <t>Pasang support display wwtp new</t>
  </si>
  <si>
    <t>Power / Voltage PLN tidak stabil mengakibatkan beberapa equipment alarm, reset power</t>
  </si>
  <si>
    <t>Berjalan ke QC Lab TTH perbaiki air purifier alarm PM</t>
  </si>
  <si>
    <t>PM. Bak chiller wash oil no-1 penambahan 40 liter PG</t>
  </si>
  <si>
    <t>Rubah normaly valve chiller 1 dan 2</t>
  </si>
  <si>
    <t>komplen dari tooling Temperatur ruang repacat tidak tercapai, berjalan kesana, cek</t>
  </si>
  <si>
    <t>telp pak heri untuk penanganan</t>
  </si>
  <si>
    <t>Discusison</t>
  </si>
  <si>
    <t>lapor / ketemu pak heyu untuk penanagann ac tooling yang suhu tidak tecapai</t>
  </si>
  <si>
    <t>Trouble HVAC P&amp;B back up tidak dingin, reset dan tunggu  jam-an</t>
  </si>
  <si>
    <t>Berjalan ke tank farm check flowmeter unloading</t>
  </si>
  <si>
    <t>Berjalan ke bak wash oil no-2 ditemukan air terlalu penuh ( kurangi sekitar 5 liter )</t>
  </si>
  <si>
    <t xml:space="preserve">Berjalan ke Limbah WWTP Buang overflow tangki wash oil no -2 </t>
  </si>
  <si>
    <t>berjalan ke tank farm , Closing unloading PG Brenntag ( meniriskan sisa PG dari selang ke ember, merapikan selang tirisan &amp; merapikan selang flexible ke tempatnya,membuang sampah APD, memindahkan tirisan PG dari ember ke jerrycan )</t>
  </si>
  <si>
    <t>berjalan ke musollah Ibadah sholat ashar</t>
  </si>
  <si>
    <t>komplen QC.Lab P&amp;B exhaust off, reset dari panel</t>
  </si>
  <si>
    <t>Support vendor CV citraindo survey/ukur seal strainer PG SKC</t>
  </si>
  <si>
    <t>Berjalan ke demin water</t>
  </si>
  <si>
    <t>Regen demin water menggunakan chemical HCL &amp; NAOH</t>
  </si>
  <si>
    <t>Preventive</t>
  </si>
  <si>
    <t>PM. FILTER HOUSING AIR DEMIN 02 (U-DMR-FH02)</t>
  </si>
  <si>
    <t>PM.FILTER HOUSING AIR DEMIN 02 (U-DMR-FH02)</t>
  </si>
  <si>
    <t>PM. Ganti catridge filter ukuran 5 micron demin water</t>
  </si>
  <si>
    <t>Berjalan ke tooling repack cek ampere &amp; volt</t>
  </si>
  <si>
    <t>Admin Fix ( closed WO PM HVAC Team pak hery )</t>
  </si>
  <si>
    <t>Admin</t>
  </si>
  <si>
    <t xml:space="preserve">Berjalan ke Lab. WWTP </t>
  </si>
  <si>
    <t>analisa sample demin</t>
  </si>
  <si>
    <t xml:space="preserve">Berjalan ke chiller wash oil no 1. cek temperatur </t>
  </si>
  <si>
    <t>Cek equipment utility. Demin water,wtp,compress air,HWG</t>
  </si>
  <si>
    <t>Prepare alat untuk PM</t>
  </si>
  <si>
    <t xml:space="preserve">PM. Mingguan strainer limbah PNB </t>
  </si>
  <si>
    <t>Support team maintenance produksi ( Fendi &amp; Rezki ) perbaikan high shear</t>
  </si>
  <si>
    <t>Ambil sample wet scrubber untuk dianalisa COD. ( 184 mg/l ) aman untuk di buang ke wwtp</t>
  </si>
  <si>
    <t>Drain wet scrubber</t>
  </si>
  <si>
    <t>Drain condensat shallot</t>
  </si>
  <si>
    <t>PM. TANGKI DAILY TANK 01 / RECEIVER TANK TTH 01</t>
  </si>
  <si>
    <t>TANGKI DAILY TANK 05 / RECEIVER TANK TTH 05</t>
  </si>
  <si>
    <t>Perapihan alat berjalan ke office</t>
  </si>
  <si>
    <t>Ambil IPA/Produk di produksi P&amp;B untuk wet scrubber</t>
  </si>
  <si>
    <t>komplen dari produksi PNB, pompa lutz tidak bis on, cek power ok. kemungkinan motor rusak, info ke fendy</t>
  </si>
  <si>
    <t>Tutup valve drain condensat shallot</t>
  </si>
  <si>
    <t>Monitoring temperatur repect tooling</t>
  </si>
  <si>
    <t>cari informasi ke pk hendro, masak bawang malam ini ( klo bisa masak maksimal jam 01:00</t>
  </si>
  <si>
    <t xml:space="preserve">Admin Fix </t>
  </si>
  <si>
    <t>Buat laporan stok water demin ,Laporan WO closed, Admin Fix, Laporan kerjaan utility via WA group ( serah terima kerjaan ke shift 3</t>
  </si>
  <si>
    <t>Diskusi dengan PT.Harjaguna mengenai permite kerja hari ini</t>
  </si>
  <si>
    <t>Project</t>
  </si>
  <si>
    <t>Menyiapkan LOTOTO untuk kerja PT Harjaguna</t>
  </si>
  <si>
    <t>Bejalan ke pos security untuk pasng LOTOTO dan spv. kerjaan PT.Harjaguna</t>
  </si>
  <si>
    <t>Cek kerjaan PT. Pundi kerjaan hari ini., pengectan area luar gedung flavour, dan pembuatan bagunan di mgnt</t>
  </si>
  <si>
    <t>Berjalan ke office untuk admin Fix</t>
  </si>
  <si>
    <t>Prepare alat dan pasang power temperatur control untuk monitoring temperatur suplay dan return chiller wash oil no-1</t>
  </si>
  <si>
    <t>Monitoring kerjaan PT Harjaguna di pos security</t>
  </si>
  <si>
    <t>Ambil IPA/Produk di produksi P&amp;B untuk wet scrubber dan dituang kedalam tangki wet scrubber</t>
  </si>
  <si>
    <t>Prepare catridge dan penggantian catridge filter WTP ukuran 5 micron panjang 10" jumlah 7 pcs</t>
  </si>
  <si>
    <t>Monitoring temperatur chiller wash oil no 1 dan 2</t>
  </si>
  <si>
    <t xml:space="preserve">Reffil chemical Nasco Iron manganese 1 liter </t>
  </si>
  <si>
    <t xml:space="preserve">Make up water IBC cooling tower </t>
  </si>
  <si>
    <t>drain condensat shallot</t>
  </si>
  <si>
    <t>PM. PRESSURE SAFETY VALVE HEADER WATER RECEIVER TANK 01 / SAFETY VALVE PUMP ROOM 04. TERA  BERLAKU 21 JULI 2025</t>
  </si>
  <si>
    <t>PRESSURE SAFETY VALVE WATER RECEIVER TANK 01 / SAFETY VALVE PUMP ROOM 05. TERA  BERLAKU 21 JULI 2025</t>
  </si>
  <si>
    <t>PRESSURE SAFETY VALVE HYDRANT RECEIVER TANK 01 / SAFETY VALVE PUMP ROOM 19. TERA  BERLAKU 13 MAR 2026</t>
  </si>
  <si>
    <t>Buat laporan stok water demin ,Laporan WO closed, Admin Fix, Laporan kerjaan utility via WA group ( serah terima kerjaan ke shift 3 )</t>
  </si>
  <si>
    <t>Bejalan dari kantin ke office ambil APD ( Helm &amp; Kaca mata )</t>
  </si>
  <si>
    <t>Start up utility kompresor 1 dan 2, HWG,Chiller TTH,PAU,Wet scrubber,Dust collector prod. TTH,HVAC TTH, HVAC P&amp;B</t>
  </si>
  <si>
    <t>Daily breefing</t>
  </si>
  <si>
    <t>Brefing</t>
  </si>
  <si>
    <t>Kalibrasi alat ukur PH &amp; Conductifity</t>
  </si>
  <si>
    <t xml:space="preserve">Bejalan untuk catat parameter equipment utility, boiler,HWG,WATER DEMIN,WTP, cek visual level tangki WTP </t>
  </si>
  <si>
    <t>analisa sample demin diruang Lab</t>
  </si>
  <si>
    <t>Berjalan ke prod. PNB rubah parameter pemakaian DPG dari tangki brenntag ke tangki SKC</t>
  </si>
  <si>
    <t>Diskusi dengan team pemakaian raw matrial DPG</t>
  </si>
  <si>
    <t>Berjalan ke office ambil alat, persipan PM</t>
  </si>
  <si>
    <t>PM. FILTER HOUSING AIR PNB 03 /WASHING PNB</t>
  </si>
  <si>
    <t xml:space="preserve">Support start up masak bawang, drain header, sebelum dan setelah tangki </t>
  </si>
  <si>
    <t>Berjalan ke tank farm prepare unloading raw matrial PG dari SKC</t>
  </si>
  <si>
    <t>Berjalan ke produksi bawang monitoring temperatur bawang &amp; condensat shallot</t>
  </si>
  <si>
    <t>Berjalan ke kantin ISOMA</t>
  </si>
  <si>
    <t>Cek visual level raw matrial PG brenntag</t>
  </si>
  <si>
    <t>berjalan ke produksi, Monitoring chiller TTH</t>
  </si>
  <si>
    <t>OFF chiller wash oil no 1 dan no 2</t>
  </si>
  <si>
    <t>PM. FILTER HOUSING AIR PNB 02 / MEZANINE PNB</t>
  </si>
  <si>
    <t>PM. FILTER HOUSING AIR PNB 01/ MEZANINE PNB</t>
  </si>
  <si>
    <t>Monitoring temperatur reaktor bawang</t>
  </si>
  <si>
    <t>Buat laporan stok water demin ,Laporan WO closed PM, Laporan kerjaan utility via WA group ( serah terima kerjaan ke shift 2 )</t>
  </si>
  <si>
    <t>Hand over dari shift 3 ke shift 1</t>
  </si>
  <si>
    <t>Catat flowmeter dan parameter pada equipment utility ( water demin,boiler,deewpell 2,compress air,air dryer,cek visual tangki 10 dan 60 m3 )</t>
  </si>
  <si>
    <t xml:space="preserve">Breefing </t>
  </si>
  <si>
    <t>Cek Fix mana saja PM. yg bisa dikerjakan ( cek compliance yg sudah over due bulan juni dan juli 25 )</t>
  </si>
  <si>
    <t>Reset flowmeter DPG dari SKC, persiapan unloading</t>
  </si>
  <si>
    <t>Ambil sparepart dari PT. AUFA di pos security dan letakan di office</t>
  </si>
  <si>
    <t>Drain wet scrubber, issue bau</t>
  </si>
  <si>
    <t>Berjalan ke tank farm prepare unloading raw matrial DPG dari Brenntag ( pasang seal tape,buka valve,pasang selang,drain angin pada jalur pipa dan pompa ) start pompa</t>
  </si>
  <si>
    <t>Berjalan ke office pak panji diskusi tentang AC split diruang visitor TTH minta dilepas acrilicnya</t>
  </si>
  <si>
    <t>OFF ac split visitor TTH untuk trial suhu ruangan</t>
  </si>
  <si>
    <t>Closing unloading DPG brenntag</t>
  </si>
  <si>
    <t>Komplen dari produksi TTH tekanan kurang kencang</t>
  </si>
  <si>
    <t>Ganti tabung nitrogen produksi P&amp;B</t>
  </si>
  <si>
    <t>Shollat ashar</t>
  </si>
  <si>
    <t>komplen dari produksi P&amp;B tidak bisa transfer ( karena switch selectror belum di Auto ) pada panel tank Farm</t>
  </si>
  <si>
    <t>Cek temperatur visitor TTH, 22. 5 derajat</t>
  </si>
  <si>
    <t>Cek temperatur Qc. Lab P&amp;B 23.5 Derajat</t>
  </si>
  <si>
    <t>Diskusi kepada pak Heyu dan Pak Tor mengenai ada perbedaan surat jalan dan aktual flowmeter unloading DPG Brenntag</t>
  </si>
  <si>
    <t>admin fix, coba buat asser register,task group,schedule maintenance</t>
  </si>
  <si>
    <t>cek stok demin diarea warehouse</t>
  </si>
  <si>
    <t>Buat laporan stok water demin ,Laporan WO closed PM, Laporan kerjaan utility via WA group ( serah terima kerjaan ke long shift 2 )</t>
  </si>
  <si>
    <t>Off boiler , masak bawang sudah selesai</t>
  </si>
  <si>
    <t>Off cooling tower , masak bawang sudah selesai</t>
  </si>
  <si>
    <t>Cek suhu diruangan visitor TTH, masih dapat diangka 22 derajat</t>
  </si>
  <si>
    <t xml:space="preserve">Admin fiix, buat list equipment baru </t>
  </si>
  <si>
    <t>exlplore manual book high speed door, untuk project improvement</t>
  </si>
  <si>
    <t>ambil acrilic divisitor TTH, sudah tidak terpakai</t>
  </si>
  <si>
    <t>Cek engine pump,,jockey pump,electric pump Hydrant, infonya ada float swtitch active, tekanan masih aman 8 bar</t>
  </si>
  <si>
    <t>Berjalan ke kantin &amp; break</t>
  </si>
  <si>
    <t>Cek wiring control high speed door warehouse PNB</t>
  </si>
  <si>
    <t>Diskusi kepada pak heyu untuk perbaikan kebocoran coil AHU diruang repec</t>
  </si>
  <si>
    <t>Minta data kepada pak hendro masak bawang dari bulan maret sampai dengan juli</t>
  </si>
  <si>
    <t>Berjalan ke tank farm cek level tangki PG Brenntag</t>
  </si>
  <si>
    <t>Cek kebocoran QC.TTH ada air yang mengenai lampu, air dari jalur drain AHU</t>
  </si>
  <si>
    <t>berjalan ke produksi, Monitoring chiller TTH / Catat power meter</t>
  </si>
  <si>
    <t>Perbaikan arm naderman area movable mixer prod. TTH PER ada yang lepas</t>
  </si>
  <si>
    <t>support team pak heri cleanning jalur drain AHU QC. TTH</t>
  </si>
  <si>
    <t>Support PT. Forbesh Analisa steam trap produksi bawang</t>
  </si>
  <si>
    <t>berjalan ke mushollah Shollat ashar</t>
  </si>
  <si>
    <t>support pak TORO trail pencucian vesel area movable mixer area produksi P&amp;b</t>
  </si>
  <si>
    <t>Isoma</t>
  </si>
  <si>
    <t>Penanganan springkler warehouse p&amp;b pecah tersenggol pallet</t>
  </si>
  <si>
    <t>Berjalan ke QC.Lab TTH ganti tabung CA</t>
  </si>
  <si>
    <t xml:space="preserve">Berjalan ke office  </t>
  </si>
  <si>
    <t>Ambil tangga untuk perbaikan ducting exhaust yang lepas</t>
  </si>
  <si>
    <t>Kalibrasi PH meter</t>
  </si>
  <si>
    <t>Kalibrasi conductifity meter</t>
  </si>
  <si>
    <t>Prepare alat untuk cek power out 24 v dari panel high speed door no 1 warehouse PNB, belum selesai</t>
  </si>
  <si>
    <t>Breajk</t>
  </si>
  <si>
    <t>Pasang flowmeter Deepwell 2 setelah di TERA ( posisi sulit dijangkau ), ganti baut &amp; mur</t>
  </si>
  <si>
    <t>Pasang flowmeter Deepwell 1 setelah di TERA ( posisi sulit dijangkau ), ganti baut &amp; mur</t>
  </si>
  <si>
    <t>Laporan kerjaan utility via WA group ( serah terima kerjaan ke pak agus )</t>
  </si>
  <si>
    <t>Izin karena sakit</t>
  </si>
  <si>
    <t>Berjalan ke QC.Lab TTH ganti tabung Hydrogen</t>
  </si>
  <si>
    <t>On boiler suplay steam ke patchouli</t>
  </si>
  <si>
    <t>berjalan ke PnB on chiller vacum dan chiller media</t>
  </si>
  <si>
    <t>berjalan ke PnB on pompa vacum</t>
  </si>
  <si>
    <t>berjalan ke PnB komplen HVAC yg baru mati, reset power sistem HVAC &amp; monitoring</t>
  </si>
  <si>
    <t>komplen QC.Lab TTH lampu kena air kondensasi, sementara lampu di lepas powernya</t>
  </si>
  <si>
    <t>komplen QC.Lab TTH ruang kerja pa Rajib/ preparation sensory diffuser mati, setelah dicek ada damper tertutup</t>
  </si>
  <si>
    <t>Komplen dari warehouse tooling, temperatur 25 derajat, reset power dan monitoring temperatur</t>
  </si>
  <si>
    <t>Admin Fix ( closed WO / PM )</t>
  </si>
  <si>
    <t>Monitoring temperatur wrehouse tooling</t>
  </si>
  <si>
    <t>shollat ashar</t>
  </si>
  <si>
    <t>Trouble shoot DPG tidak bisa transfer, reset power breker di tank farm</t>
  </si>
  <si>
    <t>PM. Wet scrubber</t>
  </si>
  <si>
    <t>Support PT. cakrabuana project inject nitrogen P&amp;B</t>
  </si>
  <si>
    <t>Off boiler untuk suplay steam</t>
  </si>
  <si>
    <t>berjalan ke produksi, on pompa sirkulasi untuk cooling down patchouli</t>
  </si>
  <si>
    <t>PM. Strainer limbah P&amp;B</t>
  </si>
  <si>
    <t>14/7/2025</t>
  </si>
  <si>
    <t>Hand over dari shift 2 ke shift 3</t>
  </si>
  <si>
    <t>Berjalan ke gudang 1 ambil garam dan timbang garam sebanayak 12 kg</t>
  </si>
  <si>
    <t xml:space="preserve">Berjalan ke utiltiy room , buat larutan garam untuk regen MMF boiler ( air -+ 100 liter &amp; garam 12 kg ) diamkan selama 1 jam </t>
  </si>
  <si>
    <t>Clenning area utility room &amp; demin water</t>
  </si>
  <si>
    <t>Ganti paking seal ferrule dari bahan EPDM kebahan paking teflon</t>
  </si>
  <si>
    <t>Trial</t>
  </si>
  <si>
    <t>Istirahat</t>
  </si>
  <si>
    <t>berjalan keruang Check pressure PAU 1 &amp; 2 ( monitoring )</t>
  </si>
  <si>
    <t>berjalan ke produksi Check valve wash oil, untuk suplly ke tangki 3 ton,300 kg , 1 ton , 500 kg</t>
  </si>
  <si>
    <t>On chiller wash oil 1 &amp; 2</t>
  </si>
  <si>
    <t>monitoring power energy dan temperatur produksi TTH</t>
  </si>
  <si>
    <t>Backwasah MMF Sand dan Ion manganese</t>
  </si>
  <si>
    <t xml:space="preserve">Berjalan ke utility room, putar knop regen MMF </t>
  </si>
  <si>
    <t>Admin utility, pencocokan asset nomor tank farm 1,2,3,4,5</t>
  </si>
  <si>
    <t>admin fix cari WO yg bisa dikerjakan dan closed yang sudah</t>
  </si>
  <si>
    <t xml:space="preserve">PM. Dossing pump WTP, PM bulanan </t>
  </si>
  <si>
    <t>Ibadah Subuh</t>
  </si>
  <si>
    <t>PM. Filter UF WWTP, PM bulanan , diganti big filter periode 3 bulan, dibersihkan periode mingguan</t>
  </si>
  <si>
    <t xml:space="preserve">Make up water cooling tower </t>
  </si>
  <si>
    <t>Buka valve condensat steam bawang</t>
  </si>
  <si>
    <t>berjalan ke produksi Check temperatur wash oil, untuk suplly ke tangki 3 ton,300 kg , 1 ton , 500 kg</t>
  </si>
  <si>
    <t>Check pressure kompressor dan pompa HWG diutility room</t>
  </si>
  <si>
    <t>berjalan ke warehouse check stok demin diarea warehouse</t>
  </si>
  <si>
    <t>Buat laporan stok water demin ,Laporan WO closed PM, Laporan kerjaan utility via WA group ( serah terima kerjaan ke shift 1 )</t>
  </si>
  <si>
    <t>15/7/2025</t>
  </si>
  <si>
    <t xml:space="preserve">Prepare alat dan housing filter </t>
  </si>
  <si>
    <t>Berjalan ke produksi TTH. Ganti Filter Housing area washing TTH sebelah kiri temuan rembes pada PM sebelumnya</t>
  </si>
  <si>
    <t>Berjalan ke kantin Istirahat Makan</t>
  </si>
  <si>
    <t>Berjalan ke ruang utility putar knop Regen Boiler/ HWG</t>
  </si>
  <si>
    <t>PM. Carbon filter STP, sudah saatnya ganti normalnya 6 bulan, sekarang sudah setahun lebih</t>
  </si>
  <si>
    <t>PM. Filter Housing WTP, mur pengunci sudah aus, sudah satnya ganti housing catridge</t>
  </si>
  <si>
    <t>Cek tekanan kompresor dan tekanan pompa HWG</t>
  </si>
  <si>
    <t>Cek temperatur chiller wash oil no 1 dan 2</t>
  </si>
  <si>
    <t>Revisi SOP Demin water</t>
  </si>
  <si>
    <t>pengisian tanki solar boiler/ hwg</t>
  </si>
  <si>
    <t>berjalan ke prod. TTH. ada rembes pd housing filter, kencangkan menggunakan kunci housing filter. Ok</t>
  </si>
  <si>
    <t>16/7/2025</t>
  </si>
  <si>
    <t>Prepare IBC/ECOBULK ambil handpallet diruang washing IBC</t>
  </si>
  <si>
    <t>ambil IBC diarea limbah B3 menggunakan handpallet dibawa kearea demin water untuk regen</t>
  </si>
  <si>
    <t>Prepare regen demin, backwash tube kation</t>
  </si>
  <si>
    <t>Proses hisap chemical HCL 2 jerigen / 40 liter</t>
  </si>
  <si>
    <t>Backwash tube kation</t>
  </si>
  <si>
    <t>proses flushing tube kation</t>
  </si>
  <si>
    <t>Berjalan ke produksi shallot, buka valve darain kondensat shallot</t>
  </si>
  <si>
    <t>berjalan keproduksi TTH cek temperatur dan catat energy Chiller TTH</t>
  </si>
  <si>
    <t>lanjut Regen demin water, buat larutan Naoh  air 40 liter + 8 kg naoh serbuk</t>
  </si>
  <si>
    <t>Backwash tube anion</t>
  </si>
  <si>
    <t>proses hisap chemical Naoh 45 liter</t>
  </si>
  <si>
    <t>proses flushing tube anion</t>
  </si>
  <si>
    <t>proses flushing tube kation &amp; anion</t>
  </si>
  <si>
    <t>Cek Quality PH &amp; Conductifity</t>
  </si>
  <si>
    <t>Sirkulasikan demin water, finish</t>
  </si>
  <si>
    <t>Backwash WTP, sand filter &amp; manganese</t>
  </si>
  <si>
    <t>Cek power 24 volt, prpject improvement high speed door warehouse pnb no 1, belum ok</t>
  </si>
  <si>
    <t>17/7/2025</t>
  </si>
  <si>
    <t>cek WO pada fix yang akan dikerakan PM</t>
  </si>
  <si>
    <t>berjalan ke utility room cek equipment utility, tekanan air compress dan pompa HWG</t>
  </si>
  <si>
    <t xml:space="preserve">Berjalan ke utiltiy room , buat larutan garam untuk regen MMF boiler ( air -+ 50 liter &amp; garam 12 kg ) diamkan selama 1 jam </t>
  </si>
  <si>
    <t>Berjalan ke pannel emulsi, untuk di on supllay ke tangki 3 ton</t>
  </si>
  <si>
    <t>Admin fix, memilah area tank farm yang belum masuk fix dan schedule maintenence</t>
  </si>
  <si>
    <t xml:space="preserve">berjalan keproduksi TTH cek temperatur </t>
  </si>
  <si>
    <t>berjalan ke panel chiller prod. TTH  catat energy Chiller TTH</t>
  </si>
  <si>
    <t>Off chiller emulsi</t>
  </si>
  <si>
    <t>cek list apar di utility room dan pelaporan online</t>
  </si>
  <si>
    <t>cek list apar di hydrant diesel room dan pelaporan online</t>
  </si>
  <si>
    <t>cek list apar di hydrant genset room dan pelaporan online</t>
  </si>
  <si>
    <t>cek list apar di hydrant LVMDP room dan pelaporan online</t>
  </si>
  <si>
    <t>PM. Pompa centryfugal demin water, body pompa sudah kropos , rekomendasi ganti motor pump</t>
  </si>
  <si>
    <t>Cek conducttifity water demin</t>
  </si>
  <si>
    <t>18/7/2025</t>
  </si>
  <si>
    <t>cek WO pada fix yang akan dikerjakan PM</t>
  </si>
  <si>
    <t>Admin SME, pilah dan pilih area tank farm mana saja yang sudah masuk maintenance schedule dan mana saja yg belum</t>
  </si>
  <si>
    <t>PM. strainer limbah P&amp;B</t>
  </si>
  <si>
    <t>Minta tolong operator forklift pindah ibc2 yang menghalangi reffil IBC chemical Naoh</t>
  </si>
  <si>
    <t>Drain tangki wet scrubber</t>
  </si>
  <si>
    <t>pm</t>
  </si>
  <si>
    <t>Prepare pelengkapan PM. wet scrubber ( jet cleanner, selang drain chemical Naoh )</t>
  </si>
  <si>
    <t>cleanning tangki wet scrubber menggunaakan jet cleanner</t>
  </si>
  <si>
    <t>Bilas menggunakan air bersih sambil drain tangki</t>
  </si>
  <si>
    <t>Refffil chemical Naoh konsentrasi 20 % quantity 1000 kg</t>
  </si>
  <si>
    <t>Backwash MMF WTP</t>
  </si>
  <si>
    <t>On chiller emulsi</t>
  </si>
  <si>
    <t>Buka valve air untuk isi tangki wet scrubber</t>
  </si>
  <si>
    <t>Minta tolong operator forklift perapihan ibc2 yang sudah dipindah</t>
  </si>
  <si>
    <t>berjalan ke prod. P&amp;B ganti tabung nitrogen diproduksi P&amp;B dan support inject nitrogen</t>
  </si>
  <si>
    <t>Komplen dari produksi P&amp;B pada air duster ditimbangan 2 &amp; 3 mengandung air, drain air duster, masih dimonitor</t>
  </si>
  <si>
    <t>admin</t>
  </si>
  <si>
    <t>21/7/2025</t>
  </si>
  <si>
    <t>Hand over dari shift 1 ke shift 1</t>
  </si>
  <si>
    <t>21/7/2026</t>
  </si>
  <si>
    <t>one on one dengan pak dody bahas tentang kinerja saya</t>
  </si>
  <si>
    <t>21/7/2027</t>
  </si>
  <si>
    <t xml:space="preserve">Buat power point untuk presentasi pump room </t>
  </si>
  <si>
    <t>21/7/2028</t>
  </si>
  <si>
    <t>Pendaftaran aset register tank farm, baru dapat 1 item</t>
  </si>
  <si>
    <t>21/7/2029</t>
  </si>
  <si>
    <t>21/7/2030</t>
  </si>
  <si>
    <t>support masak bawang , cek temperatur dan kondensat bawang</t>
  </si>
  <si>
    <t>21/7/2031</t>
  </si>
  <si>
    <t>PM.PRV steam bawang, ada temuan strainer kotor</t>
  </si>
  <si>
    <t>21/7/2032</t>
  </si>
  <si>
    <t>21/7/2033</t>
  </si>
  <si>
    <t>komplen pak tole pompa vacum performance kurang . cek pressure gauge normal -71 cmhg, cek pipa2 tidak ada kebocoran</t>
  </si>
  <si>
    <t>21/7/2034</t>
  </si>
  <si>
    <t>pasang breket pipa vacum yg lepas</t>
  </si>
  <si>
    <t>21/7/2035</t>
  </si>
  <si>
    <t>21/7/2036</t>
  </si>
  <si>
    <t>komplen prod. P&amp;B transfer matrila DPG tidak bisa ke tangki 4, coba reset dari PLC masih belum bisa, coba transfer ke tangki no 5 bisa</t>
  </si>
  <si>
    <t>21/7/2037</t>
  </si>
  <si>
    <t>Ambil sample damin water di warehouse</t>
  </si>
  <si>
    <t>21/7/2038</t>
  </si>
  <si>
    <t>cek quality demin water PH &amp; Conductifity</t>
  </si>
  <si>
    <t>21/7/2039</t>
  </si>
  <si>
    <t>PM. Strainer pompa vacum</t>
  </si>
  <si>
    <t>21/7/2040</t>
  </si>
  <si>
    <t>21/7/2041</t>
  </si>
  <si>
    <t>21/7/2042</t>
  </si>
  <si>
    <t>Buat laporan stok water demin ,Laporan WO closed PM, Laporan kerjaan utility via WA group ( serah terima kerjaan ke shift 3 )</t>
  </si>
  <si>
    <t>pendaftaran aset register tank farm, baru dapat 4 item</t>
  </si>
  <si>
    <t>22/7/2025</t>
  </si>
  <si>
    <t>Cek FIIX. cek WO PM</t>
  </si>
  <si>
    <t>pendaftaran aset register tank farm, baru dapat 2 item</t>
  </si>
  <si>
    <t>komplen Temperatur 25.5 derajat diruangan QC TTH ruang sensory, Cek remote 17 derajat, dan outdoor AC</t>
  </si>
  <si>
    <t>komplen Temperatur 27 derajat diruangan QC p&amp;B, Cek remote 2 derajat, dirubah menjadi 22 derajt</t>
  </si>
  <si>
    <t>sholat asar</t>
  </si>
  <si>
    <t>Berjalan ke lab.wwtp cek quality water demin</t>
  </si>
  <si>
    <t>support PT. Jamai survey pipa2 yang akan direloaksi diarea produksi bawang pd hari minggu</t>
  </si>
  <si>
    <t xml:space="preserve">trouble shoot posisioner valve tangki no-4 kapasitas 3.5 ton tidak bisa open secara auto dari HMI, cek dgn kalibrator </t>
  </si>
  <si>
    <t>cleanning/ flushing jalur vacum patchouli</t>
  </si>
  <si>
    <t>komplen operator P&amp;b steker exprof tidak ada power, cek kabel tidak ad yg lepas, cek panel2 SDP tidak ada yg turun</t>
  </si>
  <si>
    <t>PM. ganti carbon active condensat shallot</t>
  </si>
  <si>
    <t>Berjlan ke penel chiller emulsi, on chiller</t>
  </si>
  <si>
    <t>Cek tekanan air panas dan tekanan kompresor</t>
  </si>
  <si>
    <t>close WO PM</t>
  </si>
  <si>
    <t>22/7/2026</t>
  </si>
  <si>
    <t>22/7/2027</t>
  </si>
  <si>
    <t>pendaftaran aset register tank farm, baru dapat 12 item</t>
  </si>
  <si>
    <t>23/7/2025</t>
  </si>
  <si>
    <t>Support PT. DAIKIN pebaikan outdoor QC.Lab PNB, vacum dan inject freon R410</t>
  </si>
  <si>
    <t>Pengecekan performance pompa vacum patchouli</t>
  </si>
  <si>
    <t>Cek temperatur masak bawang dan kondensat ,tercapai</t>
  </si>
  <si>
    <t>PM. AOD pump filter press. ganti membran teflon,dan packing pnuematic, cleanning part2 yg korosi</t>
  </si>
  <si>
    <t>Sholat ashar</t>
  </si>
  <si>
    <t>Support PT. DAIKIN pebaikan outdoor belum sempurna,, lanjut buang freon,pengisian oli dari kompresor,vacum,isi freon</t>
  </si>
  <si>
    <t>cari amplas dan borak di gudang dan spartpart CV. Lintas</t>
  </si>
  <si>
    <t xml:space="preserve">OFF boiler </t>
  </si>
  <si>
    <t>off cooling tower</t>
  </si>
  <si>
    <t>lanjut monitoring  PT. DAIKIN pebaikan outdoor belum sempurna,, lanjut buang freon,pengisian oli dari kompresor,vacum,isi freon</t>
  </si>
  <si>
    <t>On pompa sirkulasi patchouli</t>
  </si>
  <si>
    <t>Ganti tabung nitrogen prod. PNB</t>
  </si>
  <si>
    <t>Perbaikan kunci momen tutup jerycan prod. Stel mur produksi. Shallot</t>
  </si>
  <si>
    <t>Sholat isya</t>
  </si>
  <si>
    <t xml:space="preserve">Off chiller vacum,off pompa vacum,off pompa sirkulasi patchouli,offf chiller pompa sirkulasi, off selector steam tangki patchouli,off mixer tangki patchouli,buka valve nitrogen di tangki patchouli,  inject nitrogen ke tangki patchouli selama 15 menit, </t>
  </si>
  <si>
    <t>Running test outdoor qc.Lab p&amp;B</t>
  </si>
  <si>
    <t>24/7/2025</t>
  </si>
  <si>
    <t>Support Pa Agus &amp; pa Dimas setting HWG 1, belum bisa</t>
  </si>
  <si>
    <t>Pasang BOX APD diarea WWTP</t>
  </si>
  <si>
    <t>Town Hall P&amp;B</t>
  </si>
  <si>
    <t>Monitoring pak heri perbaikan kebocoran pada valve naple outddor tooling no 1</t>
  </si>
  <si>
    <t>Install power pompa kondensat bawang, tarik kabel dan install power</t>
  </si>
  <si>
    <t>Regen Demin Water</t>
  </si>
  <si>
    <t xml:space="preserve">Support prod. p&amp;b inject nitrogen </t>
  </si>
  <si>
    <t>Test run pompa condensat bawang</t>
  </si>
  <si>
    <t>25/7/2025</t>
  </si>
  <si>
    <t>25/7/2026</t>
  </si>
  <si>
    <t>Cek WO fiix</t>
  </si>
  <si>
    <t>25/7/2027</t>
  </si>
  <si>
    <t>Terima tabung nitorgen dari PT.SAMATOR ( pindah dari mobil ke storage penyimpanan diprod. P&amp;B )</t>
  </si>
  <si>
    <t>25/7/2028</t>
  </si>
  <si>
    <t>25/7/2029</t>
  </si>
  <si>
    <t>25/7/2030</t>
  </si>
  <si>
    <t>25/7/2031</t>
  </si>
  <si>
    <t>PM. Strainer limbah P&amp;B. kondisi seal ferrule masih ok</t>
  </si>
  <si>
    <t>25/7/2032</t>
  </si>
  <si>
    <t>Collect data karywan dari produksi TTH. ke pak panji . untuk acara event D-fest</t>
  </si>
  <si>
    <t>25/7/2033</t>
  </si>
  <si>
    <t>25/7/2034</t>
  </si>
  <si>
    <t>PM. WET Scrubber. belum reffil Naoh</t>
  </si>
  <si>
    <t>25/7/2035</t>
  </si>
  <si>
    <t>Collect data karywan dari produksi TTH. ke pak Isto, pak Arbi . untuk acara event D-fest</t>
  </si>
  <si>
    <t>25/7/2036</t>
  </si>
  <si>
    <t>25/7/2037</t>
  </si>
  <si>
    <t>Buka Valve tangki demin</t>
  </si>
  <si>
    <t>Tracing jalur limbah kondesat shallot mampet, ternyata ada jalur angin yg los doll diruang utility di air dryer yg lama</t>
  </si>
  <si>
    <t xml:space="preserve">Reset HVAC P&amp;B baru, alarm 8 , 9 </t>
  </si>
  <si>
    <t>pendaftaran aset register tank farm, baru dapat 10 item</t>
  </si>
  <si>
    <t>26/7/2025</t>
  </si>
  <si>
    <t>pendaftaran aset register tank farm, baru dapat 5 item</t>
  </si>
  <si>
    <t>Explore posisioner valve, issue motor/dinamo tidak bisa bergerak. coba cleanning pillot jet karena ada kotoran, test run di tangk, namun belum bisa</t>
  </si>
  <si>
    <t>Reffil Naoh kapasitas 1000 kg konsentarsi 20% ke tangki wet scrubber</t>
  </si>
  <si>
    <t>PM. bak penampungan chiller, ada temuan air chiller terlalu penuh kurangi sekitar 40 liter</t>
  </si>
  <si>
    <t xml:space="preserve">Ganti tabung nitrogen produksi P&amp;B </t>
  </si>
  <si>
    <t xml:space="preserve">Support inject nitrogen  P&amp;B </t>
  </si>
  <si>
    <t>Monitoring pekerjaan pak heri perbaikan outdoor warehouse tooling no 2. indiksi kompresor suara berisik</t>
  </si>
  <si>
    <t>Monitoring pekerjaan PT. Pundi renovasi lab.sampling p&amp;b</t>
  </si>
  <si>
    <t>ada issue dari pak hendro ketika produksi bawang untuk quality dapat, tp untuk quantiti tidak dapat. coba validasi temoqouple dgn temperatur digital. hasilny ada selisih antara 0.7-0.8 derajt</t>
  </si>
  <si>
    <t>Support pak Fendi. bawa kulkas/chiller dari ruang QC.Lab TTH ke gudang 2. besok akan diperbaiki</t>
  </si>
  <si>
    <t>28/7/2025</t>
  </si>
  <si>
    <t>Start up utility ( on, kompresor, chiller TTH, HVAC Prod. P&amp;B, pompa HWG,HWG</t>
  </si>
  <si>
    <t>Breefing pagi</t>
  </si>
  <si>
    <t>Komplen produksi PNB, angin area cluster tangki tidak ada.. cek pipa angin area daytank.. ada valve yg ketutup mungkin ada project kemarin</t>
  </si>
  <si>
    <t>kalibrasi alat ukur conductifity</t>
  </si>
  <si>
    <t xml:space="preserve">kalibrasi alat ukur PH </t>
  </si>
  <si>
    <t>support produksi bawang, drain header boiler,drain sebelum tangki,drain setelah tangki</t>
  </si>
  <si>
    <t>Komplen HCAV produksi bawang panas, cek outdoor nyala semua 4 unit, cek AHU pompa blower on, filter dacron masih bagus</t>
  </si>
  <si>
    <t>komplen produksi TTH air panas kurang hanya 35 derajat, cek valve2 filter karcher, ada valve air panas dan air dingin yg tidak tertutup</t>
  </si>
  <si>
    <t>Komplen QC.Lab PnB ada tetesan air diplafon.. smentara di tadahin ember dibawahnya</t>
  </si>
  <si>
    <t>Cek temperatur dan condensat bawang</t>
  </si>
  <si>
    <t>Prepare unloading raw matrial DPG dari SKC</t>
  </si>
  <si>
    <t>Cek temperatur chiller produksi dan catat power chiller TH</t>
  </si>
  <si>
    <t xml:space="preserve">Cek temperatur wash oil </t>
  </si>
  <si>
    <t xml:space="preserve">Finish unloading raw matrial DPG SKC, off pompa,drain selang,rapikan selang flexible, </t>
  </si>
  <si>
    <t>cek paket di security. ambil paket dari PT AUFA</t>
  </si>
  <si>
    <t>komplen dari produksi TTH pengisian tangki daytank tidak bisa. reset alarm</t>
  </si>
  <si>
    <t>29/7/2025</t>
  </si>
  <si>
    <t>Breffing Pagi</t>
  </si>
  <si>
    <t>Training online serifikat TKBT 2</t>
  </si>
  <si>
    <t>PM. PRV bawang</t>
  </si>
  <si>
    <t>30/7/2025</t>
  </si>
  <si>
    <t>Training TKBT 2 di workhsop PT. URP Cikunir</t>
  </si>
  <si>
    <t>31/7/2025</t>
  </si>
  <si>
    <t>jalan dari kantin ke office</t>
  </si>
  <si>
    <t xml:space="preserve">Briefing pagi  </t>
  </si>
  <si>
    <t xml:space="preserve">Pergi ke QC, ganti tabung Hidrogen  </t>
  </si>
  <si>
    <t xml:space="preserve">Pengecekan peralatan Utility, cek Flowmeter  </t>
  </si>
  <si>
    <t xml:space="preserve">Cek Chiller, cuci oli, tutup katup  </t>
  </si>
  <si>
    <t xml:space="preserve">Tangki 3 Ton — Admin perbaikan CO₂  </t>
  </si>
  <si>
    <t xml:space="preserve">Ganti tabung Nitrogen PnB  </t>
  </si>
  <si>
    <t xml:space="preserve">Ambil sampel dari WTP ke Tangki Farm  </t>
  </si>
  <si>
    <t xml:space="preserve">Isi tangki Solar Boiler / HWG  </t>
  </si>
  <si>
    <t xml:space="preserve">Revisi penawaran dari PT. Alat Industri  </t>
  </si>
  <si>
    <t xml:space="preserve">Tutup Work Order: • WO-17898 • WO-17931 • WO-17852 • WO-17938 — Gauge Tekanan, Septik Tme-TTH • WO-17937 — (Bon)  </t>
  </si>
  <si>
    <t xml:space="preserve">Persiapan pembongkaran PG Brenntag 100 Ton  </t>
  </si>
  <si>
    <t xml:space="preserve">Bantu PT. Air Liquid — pembongkaran 4 tabung Nitrogen PnB  </t>
  </si>
  <si>
    <t xml:space="preserve">Pemeriksaan / penggantian katup manual WTP  </t>
  </si>
  <si>
    <t xml:space="preserve">Istirahat / Sholat  </t>
  </si>
  <si>
    <t xml:space="preserve">Cek suhu produksi, tangki cuci oli, matikan Chiller  </t>
  </si>
  <si>
    <t xml:space="preserve">Pembersihan tangki PnB Produksi TTH  </t>
  </si>
  <si>
    <t xml:space="preserve">Dukungan Vendor PT. SBW — Survei: • Peningkatan pipa Air Minum • Penggantian Media Filter (WTP / WWTP / Deepwell) </t>
  </si>
  <si>
    <t xml:space="preserve">Dukungan PT. Dexa — Pemeriksaan Kompresor Udara NO-1  </t>
  </si>
  <si>
    <t xml:space="preserve">Pengambilan sampel air, pemeriksaan emulsi  </t>
  </si>
  <si>
    <t xml:space="preserve">Sholat Ashar  </t>
  </si>
  <si>
    <t xml:space="preserve">pemeriksaan Filter Press Baru — Kebocoran  </t>
  </si>
  <si>
    <t xml:space="preserve">Pengoperasian Pompa Sentrifugal 15 — WO-18002  </t>
  </si>
  <si>
    <t xml:space="preserve">Pemeriksaan Diafragma — WO-17957  </t>
  </si>
  <si>
    <t xml:space="preserve">Input data &amp; pemeriksaan daftar utilitas  </t>
  </si>
  <si>
    <t xml:space="preserve">Isi formulir digital Istirahat / Sholat </t>
  </si>
  <si>
    <t xml:space="preserve">Pemeriksaan sampel, pemeriksaan emulsi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</si>
</sst>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28"/>
      <color rgb="FF000000"/>
      <name val="Calibri"/>
      <family val="2"/>
      <scheme val="minor"/>
    </font>
    <font>
      <sz val="28"/>
      <color theme="1"/>
      <name val="Calibri"/>
      <family val="2"/>
      <charset val="1"/>
      <scheme val="minor"/>
    </font>
    <font>
      <sz val="9"/>
      <color rgb="FF404040"/>
      <name val="Segoe UI"/>
      <family val="2"/>
    </font>
    <font>
      <b/>
      <sz val="28"/>
      <color rgb="FF000000"/>
      <name val="Calibri"/>
      <family val="2"/>
      <charset val="1"/>
      <scheme val="minor"/>
    </font>
    <font>
      <sz val="9"/>
      <color rgb="FF404040"/>
      <name val="Arial"/>
      <family val="2"/>
    </font>
    <font>
      <sz val="11"/>
      <color theme="1"/>
      <name val="Arial"/>
      <family val="2"/>
    </font>
    <font>
      <sz val="10"/>
      <color rgb="FF000000"/>
      <name val="Arial"/>
      <family val="2"/>
    </font>
    <font>
      <b/>
      <sz val="28"/>
      <color rgb="FF000000"/>
      <name val="Arial"/>
      <family val="2"/>
    </font>
    <font>
      <sz val="28"/>
      <color theme="1"/>
      <name val="Arial"/>
      <family val="2"/>
    </font>
    <font>
      <b/>
      <sz val="9"/>
      <color rgb="FF404040"/>
      <name val="Arial"/>
      <family val="2"/>
    </font>
    <font>
      <sz val="12"/>
      <color rgb="FF404040"/>
      <name val="Calibri Light"/>
      <scheme val="major"/>
    </font>
    <font>
      <sz val="12"/>
      <color rgb="FF000000"/>
      <name val="Calibri Light"/>
      <scheme val="major"/>
    </font>
    <font>
      <sz val="12"/>
      <color theme="1"/>
      <name val="Calibri Light"/>
      <scheme val="major"/>
    </font>
    <font>
      <sz val="12"/>
      <color rgb="FF000000"/>
      <name val="Calibri Light"/>
      <charset val="1"/>
    </font>
    <font>
      <sz val="11"/>
      <color rgb="FF565C6C"/>
      <name val="Tahoma"/>
      <family val="2"/>
    </font>
    <font>
      <sz val="9"/>
      <color rgb="FF565C6C"/>
      <name val="Tahoma"/>
      <family val="2"/>
    </font>
    <font>
      <sz val="9"/>
      <color rgb="FF737C94"/>
      <name val="Tahoma"/>
      <family val="2"/>
    </font>
    <font>
      <sz val="9"/>
      <color theme="1"/>
      <name val="Segoe UI"/>
      <family val="2"/>
    </font>
    <font>
      <b/>
      <sz val="9"/>
      <color rgb="FF404040"/>
      <name val="Segoe UI"/>
      <family val="2"/>
    </font>
  </fonts>
  <fills count="1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rgb="FF00B050"/>
        <bgColor indexed="64"/>
      </patternFill>
    </fill>
    <fill>
      <patternFill patternType="solid">
        <fgColor rgb="FF00B050"/>
        <bgColor rgb="FF000000"/>
      </patternFill>
    </fill>
    <fill>
      <patternFill patternType="solid">
        <fgColor rgb="FFFFFF00"/>
        <bgColor rgb="FF000000"/>
      </patternFill>
    </fill>
    <fill>
      <patternFill patternType="solid">
        <fgColor rgb="FFFFFFFF"/>
        <bgColor indexed="64"/>
      </patternFill>
    </fill>
    <fill>
      <patternFill patternType="solid">
        <fgColor theme="1"/>
        <bgColor indexed="64"/>
      </patternFill>
    </fill>
  </fills>
  <borders count="37">
    <border>
      <left/>
      <right/>
      <top/>
      <bottom/>
      <diagonal/>
    </border>
    <border>
      <left/>
      <right style="thin">
        <color rgb="FF00000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rgb="FF000000"/>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theme="2"/>
      </left>
      <right style="thin">
        <color theme="2"/>
      </right>
      <top style="thin">
        <color theme="2"/>
      </top>
      <bottom style="thin">
        <color theme="2"/>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270">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xf>
    <xf numFmtId="0" fontId="3" fillId="3" borderId="2" xfId="0" applyFont="1" applyFill="1" applyBorder="1" applyAlignment="1">
      <alignment wrapText="1"/>
    </xf>
    <xf numFmtId="0" fontId="3" fillId="3" borderId="3" xfId="0" applyFont="1" applyFill="1" applyBorder="1" applyAlignment="1">
      <alignment wrapText="1"/>
    </xf>
    <xf numFmtId="0" fontId="3" fillId="3" borderId="4" xfId="0" applyFont="1" applyFill="1" applyBorder="1" applyAlignment="1">
      <alignment wrapText="1"/>
    </xf>
    <xf numFmtId="0" fontId="3" fillId="3" borderId="5" xfId="0" applyFont="1" applyFill="1" applyBorder="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20" fontId="3" fillId="3" borderId="6" xfId="0" applyNumberFormat="1" applyFont="1" applyFill="1" applyBorder="1" applyAlignment="1">
      <alignment wrapText="1"/>
    </xf>
    <xf numFmtId="1" fontId="3" fillId="3" borderId="6" xfId="0" applyNumberFormat="1" applyFont="1" applyFill="1" applyBorder="1" applyAlignment="1">
      <alignment wrapText="1"/>
    </xf>
    <xf numFmtId="0" fontId="3" fillId="4" borderId="6" xfId="0" applyFont="1" applyFill="1" applyBorder="1" applyAlignment="1">
      <alignment wrapText="1"/>
    </xf>
    <xf numFmtId="0" fontId="0" fillId="5" borderId="0" xfId="0" applyFill="1"/>
    <xf numFmtId="14" fontId="3" fillId="3" borderId="7" xfId="0" applyNumberFormat="1" applyFont="1" applyFill="1" applyBorder="1" applyAlignment="1">
      <alignment wrapText="1"/>
    </xf>
    <xf numFmtId="0" fontId="3" fillId="3" borderId="8" xfId="0" applyFont="1" applyFill="1" applyBorder="1" applyAlignment="1">
      <alignment wrapText="1"/>
    </xf>
    <xf numFmtId="0" fontId="3" fillId="3" borderId="9" xfId="0" applyFont="1" applyFill="1" applyBorder="1" applyAlignment="1">
      <alignment wrapText="1"/>
    </xf>
    <xf numFmtId="0" fontId="0" fillId="5" borderId="0" xfId="0" applyFill="1" applyAlignment="1">
      <alignment horizontal="center"/>
    </xf>
    <xf numFmtId="0" fontId="4" fillId="2" borderId="0" xfId="0" applyFont="1" applyFill="1" applyAlignment="1">
      <alignment horizontal="center"/>
    </xf>
    <xf numFmtId="0" fontId="5" fillId="3" borderId="2" xfId="0" applyFont="1" applyFill="1" applyBorder="1" applyAlignment="1">
      <alignment wrapText="1"/>
    </xf>
    <xf numFmtId="0" fontId="5" fillId="3" borderId="10" xfId="0" applyFont="1" applyFill="1" applyBorder="1" applyAlignment="1">
      <alignment horizontal="center" wrapText="1"/>
    </xf>
    <xf numFmtId="0" fontId="5" fillId="3" borderId="11" xfId="0" applyFont="1" applyFill="1" applyBorder="1" applyAlignment="1">
      <alignment wrapText="1"/>
    </xf>
    <xf numFmtId="0" fontId="5" fillId="3" borderId="12" xfId="0" applyFont="1" applyFill="1" applyBorder="1" applyAlignment="1">
      <alignment wrapText="1"/>
    </xf>
    <xf numFmtId="0" fontId="5" fillId="3" borderId="2" xfId="0" applyFont="1" applyFill="1" applyBorder="1" applyAlignment="1">
      <alignment horizontal="center" wrapText="1"/>
    </xf>
    <xf numFmtId="0" fontId="6" fillId="0" borderId="0" xfId="0" applyFont="1"/>
    <xf numFmtId="0" fontId="5" fillId="3" borderId="13" xfId="0" applyFont="1" applyFill="1" applyBorder="1" applyAlignment="1">
      <alignment wrapText="1"/>
    </xf>
    <xf numFmtId="0" fontId="5" fillId="3" borderId="14" xfId="0" applyFont="1" applyFill="1" applyBorder="1" applyAlignment="1">
      <alignment horizontal="center" wrapText="1"/>
    </xf>
    <xf numFmtId="0" fontId="5" fillId="3" borderId="11" xfId="0" applyFont="1" applyFill="1" applyBorder="1" applyAlignment="1">
      <alignment wrapText="1"/>
    </xf>
    <xf numFmtId="0" fontId="5" fillId="3" borderId="8" xfId="0" applyFont="1" applyFill="1" applyBorder="1" applyAlignment="1">
      <alignment wrapText="1"/>
    </xf>
    <xf numFmtId="0" fontId="5" fillId="3" borderId="13" xfId="0" applyFont="1" applyFill="1" applyBorder="1" applyAlignment="1">
      <alignment horizontal="center" wrapText="1"/>
    </xf>
    <xf numFmtId="0" fontId="5" fillId="6" borderId="13" xfId="0" applyFont="1" applyFill="1" applyBorder="1" applyAlignment="1">
      <alignment wrapText="1"/>
    </xf>
    <xf numFmtId="0" fontId="5" fillId="6" borderId="14" xfId="0" applyFont="1" applyFill="1" applyBorder="1" applyAlignment="1">
      <alignment horizontal="center" wrapText="1"/>
    </xf>
    <xf numFmtId="0" fontId="5" fillId="6" borderId="0" xfId="0" applyFont="1" applyFill="1" applyAlignment="1">
      <alignment wrapText="1"/>
    </xf>
    <xf numFmtId="0" fontId="5" fillId="6" borderId="8" xfId="0" applyFont="1" applyFill="1" applyBorder="1" applyAlignment="1">
      <alignment wrapText="1"/>
    </xf>
    <xf numFmtId="0" fontId="5" fillId="6" borderId="0" xfId="0" applyFont="1" applyFill="1" applyAlignment="1">
      <alignment horizontal="center" wrapText="1"/>
    </xf>
    <xf numFmtId="0" fontId="6" fillId="5" borderId="0" xfId="0" applyFont="1" applyFill="1"/>
    <xf numFmtId="14" fontId="5" fillId="3" borderId="15" xfId="0" applyNumberFormat="1" applyFont="1" applyFill="1" applyBorder="1" applyAlignment="1">
      <alignment wrapText="1"/>
    </xf>
    <xf numFmtId="0" fontId="5" fillId="3" borderId="15" xfId="0" applyFont="1" applyFill="1" applyBorder="1" applyAlignment="1">
      <alignment horizontal="center" wrapText="1"/>
    </xf>
    <xf numFmtId="20" fontId="5" fillId="3" borderId="7" xfId="0" applyNumberFormat="1" applyFont="1" applyFill="1" applyBorder="1" applyAlignment="1">
      <alignment horizontal="center" wrapText="1"/>
    </xf>
    <xf numFmtId="1" fontId="5" fillId="3" borderId="6" xfId="0" applyNumberFormat="1" applyFont="1" applyFill="1" applyBorder="1" applyAlignment="1">
      <alignment wrapText="1"/>
    </xf>
    <xf numFmtId="0" fontId="5" fillId="3" borderId="16" xfId="0" applyFont="1" applyFill="1" applyBorder="1" applyAlignment="1">
      <alignment horizontal="center" wrapText="1"/>
    </xf>
    <xf numFmtId="0" fontId="5" fillId="3" borderId="16" xfId="0" applyFont="1" applyFill="1" applyBorder="1" applyAlignment="1">
      <alignment horizontal="left" wrapText="1"/>
    </xf>
    <xf numFmtId="0" fontId="5" fillId="3" borderId="11" xfId="0" applyFont="1" applyFill="1" applyBorder="1" applyAlignment="1">
      <alignment horizontal="left" wrapText="1"/>
    </xf>
    <xf numFmtId="14" fontId="5" fillId="3" borderId="15" xfId="0" applyNumberFormat="1" applyFont="1" applyFill="1" applyBorder="1" applyAlignment="1">
      <alignment horizontal="center" wrapText="1"/>
    </xf>
    <xf numFmtId="20" fontId="5" fillId="3" borderId="15" xfId="0" applyNumberFormat="1" applyFont="1" applyFill="1" applyBorder="1" applyAlignment="1">
      <alignment horizontal="center" wrapText="1"/>
    </xf>
    <xf numFmtId="0" fontId="5" fillId="3" borderId="7" xfId="0" applyFont="1" applyFill="1" applyBorder="1" applyAlignment="1">
      <alignment horizontal="center" wrapText="1"/>
    </xf>
    <xf numFmtId="0" fontId="5" fillId="3" borderId="7" xfId="0" applyFont="1" applyFill="1" applyBorder="1" applyAlignment="1">
      <alignment horizontal="left" wrapText="1"/>
    </xf>
    <xf numFmtId="0" fontId="5" fillId="3" borderId="15" xfId="0" applyFont="1" applyFill="1" applyBorder="1" applyAlignment="1">
      <alignment horizontal="left" wrapText="1"/>
    </xf>
    <xf numFmtId="0" fontId="5" fillId="2" borderId="15" xfId="0" applyFont="1" applyFill="1" applyBorder="1" applyAlignment="1">
      <alignment horizontal="left" wrapText="1"/>
    </xf>
    <xf numFmtId="0" fontId="5" fillId="4" borderId="15" xfId="0" applyFont="1" applyFill="1" applyBorder="1" applyAlignment="1">
      <alignment horizontal="left" wrapText="1"/>
    </xf>
    <xf numFmtId="0" fontId="5" fillId="3" borderId="6" xfId="0" applyFont="1" applyFill="1" applyBorder="1" applyAlignment="1">
      <alignment horizontal="left" wrapText="1"/>
    </xf>
    <xf numFmtId="0" fontId="5" fillId="3" borderId="6" xfId="0" applyFont="1" applyFill="1" applyBorder="1" applyAlignment="1">
      <alignment wrapText="1"/>
    </xf>
    <xf numFmtId="0" fontId="5" fillId="4" borderId="6" xfId="0" applyFont="1" applyFill="1" applyBorder="1" applyAlignment="1">
      <alignment wrapText="1"/>
    </xf>
    <xf numFmtId="0" fontId="6" fillId="5" borderId="0" xfId="0" applyFont="1" applyFill="1" applyAlignment="1">
      <alignment horizontal="center"/>
    </xf>
    <xf numFmtId="0" fontId="5" fillId="3" borderId="3" xfId="0" applyFont="1" applyFill="1" applyBorder="1" applyAlignment="1">
      <alignment wrapText="1"/>
    </xf>
    <xf numFmtId="0" fontId="5" fillId="3" borderId="4" xfId="0" applyFont="1" applyFill="1" applyBorder="1" applyAlignment="1">
      <alignment wrapText="1"/>
    </xf>
    <xf numFmtId="0" fontId="5" fillId="3" borderId="5" xfId="0" applyFont="1" applyFill="1" applyBorder="1" applyAlignment="1">
      <alignment wrapText="1"/>
    </xf>
    <xf numFmtId="14" fontId="5" fillId="3" borderId="7" xfId="0" applyNumberFormat="1" applyFont="1" applyFill="1" applyBorder="1" applyAlignment="1">
      <alignment wrapText="1"/>
    </xf>
    <xf numFmtId="20" fontId="5" fillId="3" borderId="6" xfId="0" applyNumberFormat="1" applyFont="1" applyFill="1" applyBorder="1" applyAlignment="1">
      <alignment wrapText="1"/>
    </xf>
    <xf numFmtId="0" fontId="5" fillId="3" borderId="8" xfId="0" applyFont="1" applyFill="1" applyBorder="1" applyAlignment="1">
      <alignment wrapText="1"/>
    </xf>
    <xf numFmtId="0" fontId="5" fillId="3" borderId="9" xfId="0" applyFont="1" applyFill="1" applyBorder="1" applyAlignment="1">
      <alignment wrapText="1"/>
    </xf>
    <xf numFmtId="0" fontId="7" fillId="0" borderId="6" xfId="0" applyFont="1" applyBorder="1"/>
    <xf numFmtId="0" fontId="6" fillId="0" borderId="17" xfId="0" applyFont="1" applyBorder="1"/>
    <xf numFmtId="0" fontId="5" fillId="3" borderId="18" xfId="0" applyFont="1" applyFill="1" applyBorder="1" applyAlignment="1">
      <alignment wrapText="1"/>
    </xf>
    <xf numFmtId="0" fontId="8" fillId="2" borderId="0" xfId="0" applyFont="1" applyFill="1" applyAlignment="1">
      <alignment horizontal="center"/>
    </xf>
    <xf numFmtId="0" fontId="9" fillId="2" borderId="0" xfId="0" applyFont="1" applyFill="1" applyAlignment="1">
      <alignment horizontal="center"/>
    </xf>
    <xf numFmtId="0" fontId="9" fillId="2" borderId="1" xfId="0" applyFont="1" applyFill="1" applyBorder="1" applyAlignment="1">
      <alignment horizontal="center"/>
    </xf>
    <xf numFmtId="0" fontId="6" fillId="2" borderId="0" xfId="0" applyFont="1" applyFill="1"/>
    <xf numFmtId="0" fontId="5" fillId="7" borderId="6" xfId="0" applyFont="1" applyFill="1" applyBorder="1" applyAlignment="1">
      <alignment wrapText="1"/>
    </xf>
    <xf numFmtId="0" fontId="5" fillId="3" borderId="19" xfId="0" applyFont="1" applyFill="1" applyBorder="1" applyAlignment="1">
      <alignment wrapText="1"/>
    </xf>
    <xf numFmtId="0" fontId="5" fillId="3" borderId="20" xfId="0" applyFont="1" applyFill="1" applyBorder="1" applyAlignment="1">
      <alignment wrapText="1"/>
    </xf>
    <xf numFmtId="0" fontId="5" fillId="3" borderId="6" xfId="0" applyFont="1" applyFill="1" applyBorder="1"/>
    <xf numFmtId="0" fontId="5" fillId="3" borderId="21" xfId="0" applyFont="1" applyFill="1" applyBorder="1" applyAlignment="1">
      <alignment horizontal="center" wrapText="1"/>
    </xf>
    <xf numFmtId="0" fontId="5" fillId="3" borderId="12" xfId="0" applyFont="1" applyFill="1" applyBorder="1" applyAlignment="1">
      <alignment horizontal="center" wrapText="1"/>
    </xf>
    <xf numFmtId="0" fontId="5" fillId="3" borderId="22" xfId="0" applyFont="1" applyFill="1" applyBorder="1" applyAlignment="1">
      <alignment horizontal="center" wrapText="1"/>
    </xf>
    <xf numFmtId="0" fontId="5" fillId="3" borderId="23" xfId="0" applyFont="1" applyFill="1" applyBorder="1" applyAlignment="1">
      <alignment horizontal="center" wrapText="1"/>
    </xf>
    <xf numFmtId="0" fontId="5" fillId="3" borderId="6" xfId="0" applyFont="1" applyFill="1" applyBorder="1" applyAlignment="1">
      <alignment horizontal="center" wrapText="1"/>
    </xf>
    <xf numFmtId="0" fontId="6" fillId="0" borderId="0" xfId="0" applyFont="1" applyAlignment="1">
      <alignment horizontal="center"/>
    </xf>
    <xf numFmtId="0" fontId="3" fillId="2" borderId="2"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20" fontId="3" fillId="2" borderId="15" xfId="0" applyNumberFormat="1" applyFont="1" applyFill="1" applyBorder="1" applyAlignment="1">
      <alignment horizontal="center" vertical="center" wrapText="1"/>
    </xf>
    <xf numFmtId="14" fontId="3" fillId="8" borderId="15" xfId="0" applyNumberFormat="1" applyFont="1" applyFill="1" applyBorder="1" applyAlignment="1">
      <alignment horizontal="center" wrapText="1"/>
    </xf>
    <xf numFmtId="20" fontId="3" fillId="8" borderId="15" xfId="0" applyNumberFormat="1" applyFont="1" applyFill="1" applyBorder="1" applyAlignment="1">
      <alignment horizontal="center" wrapText="1"/>
    </xf>
    <xf numFmtId="1" fontId="3" fillId="8" borderId="15" xfId="0" applyNumberFormat="1" applyFont="1" applyFill="1" applyBorder="1" applyAlignment="1">
      <alignment horizontal="center" wrapText="1"/>
    </xf>
    <xf numFmtId="0" fontId="3" fillId="8" borderId="7" xfId="0" applyFont="1" applyFill="1" applyBorder="1" applyAlignment="1">
      <alignment horizontal="center" vertical="center" wrapText="1"/>
    </xf>
    <xf numFmtId="0" fontId="3" fillId="8" borderId="7" xfId="0" applyFont="1" applyFill="1" applyBorder="1" applyAlignment="1">
      <alignment horizontal="left" vertical="center" wrapText="1"/>
    </xf>
    <xf numFmtId="0" fontId="3" fillId="8" borderId="15"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8" borderId="7" xfId="0" applyFont="1" applyFill="1" applyBorder="1" applyAlignment="1">
      <alignment vertical="center" wrapText="1"/>
    </xf>
    <xf numFmtId="0" fontId="3" fillId="8" borderId="15" xfId="0" applyFont="1" applyFill="1" applyBorder="1" applyAlignment="1">
      <alignment horizontal="center" vertical="center" wrapText="1"/>
    </xf>
    <xf numFmtId="0" fontId="3" fillId="8" borderId="15" xfId="0" applyFont="1" applyFill="1" applyBorder="1" applyAlignment="1">
      <alignment horizontal="center" wrapText="1"/>
    </xf>
    <xf numFmtId="0" fontId="3" fillId="4" borderId="15" xfId="0" applyFont="1" applyFill="1" applyBorder="1" applyAlignment="1">
      <alignment horizontal="left" vertical="center" wrapText="1"/>
    </xf>
    <xf numFmtId="14" fontId="3" fillId="5" borderId="15" xfId="0" applyNumberFormat="1" applyFont="1" applyFill="1" applyBorder="1" applyAlignment="1">
      <alignment horizontal="center" wrapText="1"/>
    </xf>
    <xf numFmtId="0" fontId="3" fillId="5" borderId="15" xfId="0" applyFont="1" applyFill="1" applyBorder="1" applyAlignment="1">
      <alignment horizontal="center" wrapText="1"/>
    </xf>
    <xf numFmtId="20" fontId="3" fillId="5" borderId="15" xfId="0" applyNumberFormat="1" applyFont="1" applyFill="1" applyBorder="1" applyAlignment="1">
      <alignment horizontal="center" wrapText="1"/>
    </xf>
    <xf numFmtId="20" fontId="3" fillId="5" borderId="19" xfId="0" applyNumberFormat="1" applyFont="1" applyFill="1" applyBorder="1" applyAlignment="1">
      <alignment horizontal="center" wrapText="1"/>
    </xf>
    <xf numFmtId="0" fontId="3" fillId="5" borderId="7"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7" xfId="0" applyFont="1" applyFill="1" applyBorder="1" applyAlignment="1">
      <alignment horizontal="center" vertical="center" wrapText="1"/>
    </xf>
    <xf numFmtId="14" fontId="3" fillId="8" borderId="15" xfId="0" applyNumberFormat="1" applyFont="1" applyFill="1" applyBorder="1" applyAlignment="1">
      <alignment horizontal="left" wrapText="1"/>
    </xf>
    <xf numFmtId="20" fontId="3" fillId="8" borderId="15" xfId="0" applyNumberFormat="1" applyFont="1" applyFill="1" applyBorder="1" applyAlignment="1">
      <alignment horizontal="left" wrapText="1"/>
    </xf>
    <xf numFmtId="1" fontId="3" fillId="8" borderId="15" xfId="0" applyNumberFormat="1" applyFont="1" applyFill="1" applyBorder="1" applyAlignment="1">
      <alignment horizontal="left" wrapText="1"/>
    </xf>
    <xf numFmtId="0" fontId="0" fillId="0" borderId="0" xfId="0" applyAlignment="1">
      <alignment horizontal="left"/>
    </xf>
    <xf numFmtId="0" fontId="3" fillId="8" borderId="15" xfId="0" applyFont="1" applyFill="1" applyBorder="1" applyAlignment="1">
      <alignment horizontal="left" wrapText="1"/>
    </xf>
    <xf numFmtId="20" fontId="3" fillId="8" borderId="2" xfId="0" applyNumberFormat="1" applyFont="1" applyFill="1" applyBorder="1" applyAlignment="1">
      <alignment horizontal="left" wrapText="1"/>
    </xf>
    <xf numFmtId="14" fontId="3" fillId="8" borderId="19" xfId="0" applyNumberFormat="1" applyFont="1" applyFill="1" applyBorder="1" applyAlignment="1">
      <alignment horizontal="left" wrapText="1"/>
    </xf>
    <xf numFmtId="0" fontId="0" fillId="5" borderId="0" xfId="0" applyFill="1" applyAlignment="1">
      <alignment horizontal="left"/>
    </xf>
    <xf numFmtId="0" fontId="3" fillId="2" borderId="2"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7" xfId="0" applyFont="1" applyFill="1" applyBorder="1" applyAlignment="1">
      <alignment horizontal="left" vertical="center" wrapText="1"/>
    </xf>
    <xf numFmtId="20" fontId="3" fillId="2" borderId="15" xfId="0" applyNumberFormat="1" applyFont="1" applyFill="1" applyBorder="1" applyAlignment="1">
      <alignment horizontal="left" vertical="center" wrapText="1"/>
    </xf>
    <xf numFmtId="0" fontId="3" fillId="2" borderId="2" xfId="0" applyFont="1" applyFill="1" applyBorder="1" applyAlignment="1">
      <alignment horizontal="left" wrapText="1"/>
    </xf>
    <xf numFmtId="0" fontId="3" fillId="2" borderId="19" xfId="0" applyFont="1" applyFill="1" applyBorder="1" applyAlignment="1">
      <alignment horizontal="left" wrapText="1"/>
    </xf>
    <xf numFmtId="0" fontId="3" fillId="2" borderId="9" xfId="0" applyFont="1" applyFill="1" applyBorder="1" applyAlignment="1">
      <alignment horizontal="left" wrapText="1"/>
    </xf>
    <xf numFmtId="0" fontId="3" fillId="2" borderId="24" xfId="0" applyFont="1" applyFill="1" applyBorder="1" applyAlignment="1">
      <alignment horizontal="left" wrapText="1"/>
    </xf>
    <xf numFmtId="0" fontId="3" fillId="2" borderId="13" xfId="0" applyFont="1" applyFill="1" applyBorder="1" applyAlignment="1">
      <alignment horizontal="left" wrapText="1"/>
    </xf>
    <xf numFmtId="0" fontId="3" fillId="2" borderId="15" xfId="0" applyFont="1" applyFill="1" applyBorder="1" applyAlignment="1">
      <alignment horizontal="left" wrapText="1"/>
    </xf>
    <xf numFmtId="0" fontId="3" fillId="2" borderId="5" xfId="0" applyFont="1" applyFill="1" applyBorder="1" applyAlignment="1">
      <alignment horizontal="left" wrapText="1"/>
    </xf>
    <xf numFmtId="20" fontId="3" fillId="3" borderId="15" xfId="0" applyNumberFormat="1" applyFont="1" applyFill="1" applyBorder="1" applyAlignment="1">
      <alignment horizontal="left" wrapText="1"/>
    </xf>
    <xf numFmtId="0" fontId="3" fillId="3" borderId="7" xfId="0" applyFont="1" applyFill="1" applyBorder="1" applyAlignment="1">
      <alignment horizontal="left" wrapText="1"/>
    </xf>
    <xf numFmtId="14" fontId="3" fillId="2" borderId="24" xfId="0" applyNumberFormat="1" applyFont="1" applyFill="1" applyBorder="1" applyAlignment="1">
      <alignment horizontal="left" wrapText="1"/>
    </xf>
    <xf numFmtId="20" fontId="3" fillId="2" borderId="24" xfId="0" applyNumberFormat="1" applyFont="1" applyFill="1" applyBorder="1" applyAlignment="1">
      <alignment horizontal="left" wrapText="1"/>
    </xf>
    <xf numFmtId="0" fontId="3" fillId="3" borderId="15" xfId="0" applyFont="1" applyFill="1" applyBorder="1" applyAlignment="1">
      <alignment horizontal="left" wrapText="1"/>
    </xf>
    <xf numFmtId="20" fontId="3" fillId="3" borderId="2" xfId="0" applyNumberFormat="1" applyFont="1" applyFill="1" applyBorder="1" applyAlignment="1">
      <alignment horizontal="left" wrapText="1"/>
    </xf>
    <xf numFmtId="0" fontId="3" fillId="3" borderId="9" xfId="0" applyFont="1" applyFill="1" applyBorder="1" applyAlignment="1">
      <alignment horizontal="left" wrapText="1"/>
    </xf>
    <xf numFmtId="0" fontId="3" fillId="3" borderId="2" xfId="0" applyFont="1" applyFill="1" applyBorder="1" applyAlignment="1">
      <alignment horizontal="left" wrapText="1"/>
    </xf>
    <xf numFmtId="1" fontId="3" fillId="8" borderId="2" xfId="0" applyNumberFormat="1" applyFont="1" applyFill="1" applyBorder="1" applyAlignment="1">
      <alignment horizontal="left" wrapText="1"/>
    </xf>
    <xf numFmtId="0" fontId="3" fillId="8" borderId="13" xfId="0" applyFont="1" applyFill="1" applyBorder="1" applyAlignment="1">
      <alignment horizontal="left" vertical="center" wrapText="1"/>
    </xf>
    <xf numFmtId="20" fontId="3" fillId="3" borderId="25" xfId="0" applyNumberFormat="1" applyFont="1" applyFill="1" applyBorder="1" applyAlignment="1">
      <alignment horizontal="left" wrapText="1"/>
    </xf>
    <xf numFmtId="1" fontId="3" fillId="8" borderId="25" xfId="0" applyNumberFormat="1" applyFont="1" applyFill="1" applyBorder="1" applyAlignment="1">
      <alignment horizontal="left" wrapText="1"/>
    </xf>
    <xf numFmtId="0" fontId="3" fillId="8" borderId="25" xfId="0" applyFont="1" applyFill="1" applyBorder="1" applyAlignment="1">
      <alignment horizontal="left" vertical="center" wrapText="1"/>
    </xf>
    <xf numFmtId="0" fontId="3" fillId="3" borderId="25" xfId="0" applyFont="1" applyFill="1" applyBorder="1" applyAlignment="1">
      <alignment horizontal="left" wrapText="1"/>
    </xf>
    <xf numFmtId="0" fontId="3" fillId="8" borderId="9" xfId="0" applyFont="1" applyFill="1" applyBorder="1" applyAlignment="1">
      <alignment horizontal="left" wrapText="1"/>
    </xf>
    <xf numFmtId="0" fontId="0" fillId="2" borderId="24" xfId="0" applyFill="1" applyBorder="1" applyAlignment="1">
      <alignment horizontal="left"/>
    </xf>
    <xf numFmtId="0" fontId="3" fillId="2" borderId="2" xfId="0" applyFont="1" applyFill="1" applyBorder="1" applyAlignment="1">
      <alignment horizontal="left" wrapText="1"/>
    </xf>
    <xf numFmtId="0" fontId="3" fillId="2" borderId="5" xfId="0" applyFont="1" applyFill="1" applyBorder="1" applyAlignment="1">
      <alignment horizontal="left" wrapText="1"/>
    </xf>
    <xf numFmtId="14" fontId="3" fillId="3" borderId="15" xfId="0" applyNumberFormat="1" applyFont="1" applyFill="1" applyBorder="1" applyAlignment="1">
      <alignment horizontal="left" wrapText="1"/>
    </xf>
    <xf numFmtId="0" fontId="3" fillId="3" borderId="13" xfId="0" applyFont="1" applyFill="1" applyBorder="1" applyAlignment="1">
      <alignment horizontal="left" wrapText="1"/>
    </xf>
    <xf numFmtId="20" fontId="3" fillId="3" borderId="26" xfId="0" applyNumberFormat="1" applyFont="1" applyFill="1" applyBorder="1" applyAlignment="1">
      <alignment horizontal="left" wrapText="1"/>
    </xf>
    <xf numFmtId="1" fontId="3" fillId="8" borderId="19" xfId="0" applyNumberFormat="1" applyFont="1" applyFill="1" applyBorder="1" applyAlignment="1">
      <alignment horizontal="left" wrapText="1"/>
    </xf>
    <xf numFmtId="0" fontId="3" fillId="3" borderId="11" xfId="0" applyFont="1" applyFill="1" applyBorder="1" applyAlignment="1">
      <alignment horizontal="left" wrapText="1"/>
    </xf>
    <xf numFmtId="0" fontId="3" fillId="3" borderId="27" xfId="0" applyFont="1" applyFill="1" applyBorder="1" applyAlignment="1">
      <alignment horizontal="left" wrapText="1"/>
    </xf>
    <xf numFmtId="0" fontId="3" fillId="3" borderId="7" xfId="0" quotePrefix="1" applyFont="1" applyFill="1" applyBorder="1" applyAlignment="1">
      <alignment horizontal="left" wrapText="1"/>
    </xf>
    <xf numFmtId="0" fontId="3" fillId="3" borderId="28" xfId="0" applyFont="1" applyFill="1" applyBorder="1" applyAlignment="1">
      <alignment horizontal="left" wrapText="1"/>
    </xf>
    <xf numFmtId="21" fontId="3" fillId="3" borderId="15" xfId="0" applyNumberFormat="1" applyFont="1" applyFill="1" applyBorder="1" applyAlignment="1">
      <alignment horizontal="left" wrapText="1"/>
    </xf>
    <xf numFmtId="14" fontId="3" fillId="2" borderId="15" xfId="0" applyNumberFormat="1" applyFont="1" applyFill="1" applyBorder="1" applyAlignment="1">
      <alignment horizontal="left" wrapText="1"/>
    </xf>
    <xf numFmtId="20" fontId="3" fillId="2" borderId="15" xfId="0" applyNumberFormat="1" applyFont="1" applyFill="1" applyBorder="1" applyAlignment="1">
      <alignment horizontal="left" wrapText="1"/>
    </xf>
    <xf numFmtId="1" fontId="3" fillId="2" borderId="15" xfId="0" applyNumberFormat="1" applyFont="1" applyFill="1" applyBorder="1" applyAlignment="1">
      <alignment horizontal="left" wrapText="1"/>
    </xf>
    <xf numFmtId="1" fontId="3" fillId="2" borderId="19" xfId="0" applyNumberFormat="1" applyFont="1" applyFill="1" applyBorder="1" applyAlignment="1">
      <alignment horizontal="left" wrapText="1"/>
    </xf>
    <xf numFmtId="0" fontId="3" fillId="2" borderId="11" xfId="0" applyFont="1" applyFill="1" applyBorder="1" applyAlignment="1">
      <alignment horizontal="left" wrapText="1"/>
    </xf>
    <xf numFmtId="0" fontId="3" fillId="2" borderId="9" xfId="0" applyFont="1" applyFill="1" applyBorder="1" applyAlignment="1">
      <alignment horizontal="left" wrapText="1"/>
    </xf>
    <xf numFmtId="0" fontId="3" fillId="2" borderId="28" xfId="0" applyFont="1" applyFill="1" applyBorder="1" applyAlignment="1">
      <alignment horizontal="left" wrapText="1"/>
    </xf>
    <xf numFmtId="0" fontId="3" fillId="2" borderId="27" xfId="0" applyFont="1" applyFill="1" applyBorder="1" applyAlignment="1">
      <alignment horizontal="left" wrapText="1"/>
    </xf>
    <xf numFmtId="0" fontId="3" fillId="3" borderId="5" xfId="0" quotePrefix="1" applyFont="1" applyFill="1" applyBorder="1" applyAlignment="1">
      <alignment horizontal="left" wrapText="1"/>
    </xf>
    <xf numFmtId="0" fontId="3" fillId="3" borderId="5" xfId="0" applyFont="1" applyFill="1" applyBorder="1" applyAlignment="1">
      <alignment horizontal="left" wrapText="1"/>
    </xf>
    <xf numFmtId="0" fontId="3" fillId="2" borderId="7" xfId="0" applyFont="1" applyFill="1" applyBorder="1" applyAlignment="1">
      <alignment horizontal="left" wrapText="1"/>
    </xf>
    <xf numFmtId="0" fontId="3" fillId="0" borderId="17" xfId="0" applyFont="1" applyBorder="1" applyAlignment="1">
      <alignment horizontal="left"/>
    </xf>
    <xf numFmtId="0" fontId="3" fillId="2" borderId="17" xfId="0" applyFont="1" applyFill="1" applyBorder="1" applyAlignment="1">
      <alignment horizontal="left"/>
    </xf>
    <xf numFmtId="0" fontId="3" fillId="2" borderId="15" xfId="0" applyFont="1" applyFill="1" applyBorder="1" applyAlignment="1">
      <alignment horizontal="left" vertical="center" wrapText="1"/>
    </xf>
    <xf numFmtId="20" fontId="3" fillId="2" borderId="25" xfId="0" applyNumberFormat="1" applyFont="1" applyFill="1" applyBorder="1" applyAlignment="1">
      <alignment horizontal="left" wrapText="1"/>
    </xf>
    <xf numFmtId="0" fontId="3" fillId="4" borderId="2" xfId="0" applyFont="1" applyFill="1" applyBorder="1" applyAlignment="1">
      <alignment horizontal="left" wrapText="1"/>
    </xf>
    <xf numFmtId="0" fontId="3" fillId="4" borderId="19" xfId="0" applyFont="1" applyFill="1" applyBorder="1" applyAlignment="1">
      <alignment horizontal="left" wrapText="1"/>
    </xf>
    <xf numFmtId="0" fontId="3" fillId="4" borderId="9" xfId="0" applyFont="1" applyFill="1" applyBorder="1" applyAlignment="1">
      <alignment horizontal="left" wrapText="1"/>
    </xf>
    <xf numFmtId="0" fontId="3" fillId="4" borderId="13" xfId="0" applyFont="1" applyFill="1" applyBorder="1" applyAlignment="1">
      <alignment horizontal="left" wrapText="1"/>
    </xf>
    <xf numFmtId="0" fontId="3" fillId="4" borderId="15" xfId="0" applyFont="1" applyFill="1" applyBorder="1" applyAlignment="1">
      <alignment horizontal="left" wrapText="1"/>
    </xf>
    <xf numFmtId="0" fontId="3" fillId="4" borderId="5" xfId="0" applyFont="1" applyFill="1" applyBorder="1" applyAlignment="1">
      <alignment horizontal="left" wrapText="1"/>
    </xf>
    <xf numFmtId="0" fontId="3" fillId="4" borderId="19" xfId="0" applyFont="1" applyFill="1" applyBorder="1" applyAlignment="1">
      <alignment horizontal="left" wrapText="1"/>
    </xf>
    <xf numFmtId="0" fontId="3" fillId="4" borderId="9" xfId="0" applyFont="1" applyFill="1" applyBorder="1" applyAlignment="1">
      <alignment horizontal="left" wrapText="1"/>
    </xf>
    <xf numFmtId="14" fontId="3" fillId="8" borderId="2" xfId="0" applyNumberFormat="1" applyFont="1" applyFill="1" applyBorder="1" applyAlignment="1">
      <alignment horizontal="left" wrapText="1"/>
    </xf>
    <xf numFmtId="1" fontId="3" fillId="2" borderId="2" xfId="0" applyNumberFormat="1" applyFont="1" applyFill="1" applyBorder="1" applyAlignment="1">
      <alignment horizontal="left" wrapText="1"/>
    </xf>
    <xf numFmtId="0" fontId="3" fillId="2" borderId="13"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7" xfId="0" applyFont="1" applyFill="1" applyBorder="1" applyAlignment="1">
      <alignment horizontal="left" wrapText="1"/>
    </xf>
    <xf numFmtId="0" fontId="0" fillId="9" borderId="0" xfId="0" applyFill="1" applyAlignment="1">
      <alignment horizontal="left"/>
    </xf>
    <xf numFmtId="0" fontId="0" fillId="5" borderId="11" xfId="0" applyFill="1" applyBorder="1" applyAlignment="1">
      <alignment horizontal="left"/>
    </xf>
    <xf numFmtId="0" fontId="11" fillId="3" borderId="11" xfId="0" applyFont="1" applyFill="1" applyBorder="1" applyAlignment="1">
      <alignment horizontal="left" wrapText="1"/>
    </xf>
    <xf numFmtId="0" fontId="11" fillId="3" borderId="11" xfId="0" applyFont="1" applyFill="1" applyBorder="1" applyAlignment="1">
      <alignment horizontal="left" wrapText="1"/>
    </xf>
    <xf numFmtId="14" fontId="11" fillId="3" borderId="11" xfId="0" applyNumberFormat="1" applyFont="1" applyFill="1" applyBorder="1" applyAlignment="1">
      <alignment horizontal="left" wrapText="1"/>
    </xf>
    <xf numFmtId="20" fontId="12" fillId="0" borderId="7" xfId="0" applyNumberFormat="1" applyFont="1" applyBorder="1" applyAlignment="1">
      <alignment horizontal="left"/>
    </xf>
    <xf numFmtId="20" fontId="11" fillId="3" borderId="11" xfId="0" applyNumberFormat="1" applyFont="1" applyFill="1" applyBorder="1" applyAlignment="1">
      <alignment horizontal="left" wrapText="1"/>
    </xf>
    <xf numFmtId="0" fontId="12" fillId="0" borderId="15" xfId="0" applyFont="1" applyBorder="1" applyAlignment="1">
      <alignment horizontal="left"/>
    </xf>
    <xf numFmtId="0" fontId="12" fillId="0" borderId="7" xfId="0" applyFont="1" applyBorder="1" applyAlignment="1">
      <alignment horizontal="left"/>
    </xf>
    <xf numFmtId="20" fontId="11" fillId="2" borderId="15" xfId="0" applyNumberFormat="1" applyFont="1" applyFill="1" applyBorder="1" applyAlignment="1">
      <alignment horizontal="left" wrapText="1"/>
    </xf>
    <xf numFmtId="0" fontId="11" fillId="3" borderId="29" xfId="0" applyFont="1" applyFill="1" applyBorder="1" applyAlignment="1">
      <alignment horizontal="left" wrapText="1"/>
    </xf>
    <xf numFmtId="20" fontId="11" fillId="3" borderId="15" xfId="0" applyNumberFormat="1" applyFont="1" applyFill="1" applyBorder="1" applyAlignment="1">
      <alignment horizontal="left" wrapText="1"/>
    </xf>
    <xf numFmtId="0" fontId="13" fillId="0" borderId="11" xfId="0" applyFont="1" applyBorder="1" applyAlignment="1">
      <alignment horizontal="left"/>
    </xf>
    <xf numFmtId="0" fontId="14" fillId="0" borderId="0" xfId="0" applyFont="1"/>
    <xf numFmtId="0" fontId="3" fillId="3" borderId="2" xfId="0" applyFont="1" applyFill="1" applyBorder="1" applyAlignment="1">
      <alignment horizontal="center" wrapText="1"/>
    </xf>
    <xf numFmtId="0" fontId="3" fillId="3" borderId="10" xfId="0" applyFont="1" applyFill="1" applyBorder="1" applyAlignment="1">
      <alignment horizontal="center" wrapText="1"/>
    </xf>
    <xf numFmtId="0" fontId="3" fillId="3" borderId="11" xfId="0" applyFont="1" applyFill="1" applyBorder="1" applyAlignment="1">
      <alignment horizontal="center" wrapText="1"/>
    </xf>
    <xf numFmtId="0" fontId="3" fillId="3" borderId="12" xfId="0" applyFont="1" applyFill="1" applyBorder="1" applyAlignment="1">
      <alignment horizontal="center" wrapText="1"/>
    </xf>
    <xf numFmtId="0" fontId="3" fillId="3" borderId="13" xfId="0" applyFont="1" applyFill="1" applyBorder="1" applyAlignment="1">
      <alignment horizontal="center" wrapText="1"/>
    </xf>
    <xf numFmtId="0" fontId="3" fillId="3" borderId="14" xfId="0" applyFont="1" applyFill="1" applyBorder="1" applyAlignment="1">
      <alignment horizontal="center" wrapText="1"/>
    </xf>
    <xf numFmtId="0" fontId="3" fillId="3" borderId="11" xfId="0" applyFont="1" applyFill="1" applyBorder="1" applyAlignment="1">
      <alignment horizontal="center" wrapText="1"/>
    </xf>
    <xf numFmtId="0" fontId="3" fillId="3" borderId="8" xfId="0" applyFont="1" applyFill="1" applyBorder="1" applyAlignment="1">
      <alignment horizontal="center" wrapText="1"/>
    </xf>
    <xf numFmtId="14" fontId="3" fillId="3" borderId="15" xfId="0" applyNumberFormat="1" applyFont="1" applyFill="1" applyBorder="1" applyAlignment="1">
      <alignment horizontal="center" wrapText="1"/>
    </xf>
    <xf numFmtId="0" fontId="3" fillId="3" borderId="15" xfId="0" applyFont="1" applyFill="1" applyBorder="1" applyAlignment="1">
      <alignment horizontal="center" wrapText="1"/>
    </xf>
    <xf numFmtId="20" fontId="3" fillId="3" borderId="7" xfId="0" applyNumberFormat="1" applyFont="1" applyFill="1" applyBorder="1" applyAlignment="1">
      <alignment horizontal="center" wrapText="1"/>
    </xf>
    <xf numFmtId="20" fontId="3" fillId="3" borderId="19" xfId="0" applyNumberFormat="1" applyFont="1" applyFill="1" applyBorder="1" applyAlignment="1">
      <alignment horizontal="center" wrapText="1"/>
    </xf>
    <xf numFmtId="0" fontId="3" fillId="3" borderId="16" xfId="0" applyFont="1" applyFill="1" applyBorder="1" applyAlignment="1">
      <alignment horizontal="center" wrapText="1"/>
    </xf>
    <xf numFmtId="0" fontId="3" fillId="3" borderId="16" xfId="0" applyFont="1" applyFill="1" applyBorder="1" applyAlignment="1">
      <alignment horizontal="left" wrapText="1"/>
    </xf>
    <xf numFmtId="0" fontId="3" fillId="3" borderId="7" xfId="0" applyFont="1" applyFill="1" applyBorder="1" applyAlignment="1">
      <alignment horizontal="center" wrapText="1"/>
    </xf>
    <xf numFmtId="20" fontId="3" fillId="3" borderId="15" xfId="0" applyNumberFormat="1" applyFont="1" applyFill="1" applyBorder="1" applyAlignment="1">
      <alignment horizontal="center" wrapText="1"/>
    </xf>
    <xf numFmtId="0" fontId="3" fillId="3" borderId="15" xfId="0" applyFont="1" applyFill="1" applyBorder="1" applyAlignment="1">
      <alignment wrapText="1"/>
    </xf>
    <xf numFmtId="0" fontId="3" fillId="4" borderId="7" xfId="0" applyFont="1" applyFill="1" applyBorder="1" applyAlignment="1">
      <alignment horizontal="left" wrapText="1"/>
    </xf>
    <xf numFmtId="0" fontId="3" fillId="3" borderId="30" xfId="0" applyFont="1" applyFill="1" applyBorder="1" applyAlignment="1">
      <alignment horizontal="center" wrapText="1"/>
    </xf>
    <xf numFmtId="0" fontId="3" fillId="3" borderId="16" xfId="0" applyFont="1" applyFill="1" applyBorder="1" applyAlignment="1">
      <alignment horizontal="center" wrapText="1"/>
    </xf>
    <xf numFmtId="0" fontId="3" fillId="3" borderId="27" xfId="0" applyFont="1" applyFill="1" applyBorder="1" applyAlignment="1">
      <alignment horizontal="center" wrapText="1"/>
    </xf>
    <xf numFmtId="0" fontId="3" fillId="3" borderId="31" xfId="0" applyFont="1" applyFill="1" applyBorder="1" applyAlignment="1">
      <alignment horizontal="center" wrapText="1"/>
    </xf>
    <xf numFmtId="0" fontId="3" fillId="3" borderId="7" xfId="0" applyFont="1" applyFill="1" applyBorder="1" applyAlignment="1">
      <alignment horizontal="center" wrapText="1"/>
    </xf>
    <xf numFmtId="0" fontId="3" fillId="3" borderId="32" xfId="0" applyFont="1" applyFill="1" applyBorder="1" applyAlignment="1">
      <alignment horizontal="center" wrapText="1"/>
    </xf>
    <xf numFmtId="0" fontId="3" fillId="3" borderId="18" xfId="0" applyFont="1" applyFill="1" applyBorder="1" applyAlignment="1">
      <alignment horizontal="center" wrapText="1"/>
    </xf>
    <xf numFmtId="0" fontId="3" fillId="3" borderId="5" xfId="0" applyFont="1" applyFill="1" applyBorder="1" applyAlignment="1">
      <alignment horizontal="center" wrapText="1"/>
    </xf>
    <xf numFmtId="0" fontId="3" fillId="3" borderId="27" xfId="0" applyFont="1" applyFill="1" applyBorder="1" applyAlignment="1">
      <alignment horizontal="center" wrapText="1"/>
    </xf>
    <xf numFmtId="0" fontId="3" fillId="3" borderId="22" xfId="0" applyFont="1" applyFill="1" applyBorder="1" applyAlignment="1">
      <alignment horizontal="center" wrapText="1"/>
    </xf>
    <xf numFmtId="0" fontId="15" fillId="0" borderId="11" xfId="0" applyFont="1" applyBorder="1" applyAlignment="1">
      <alignment wrapText="1"/>
    </xf>
    <xf numFmtId="0" fontId="16" fillId="0" borderId="11" xfId="0" applyFont="1" applyBorder="1" applyAlignment="1">
      <alignment wrapText="1"/>
    </xf>
    <xf numFmtId="0" fontId="17" fillId="0" borderId="11" xfId="0" applyFont="1" applyBorder="1"/>
    <xf numFmtId="0" fontId="0" fillId="0" borderId="11" xfId="0" applyBorder="1" applyAlignment="1">
      <alignment horizontal="left" vertical="center"/>
    </xf>
    <xf numFmtId="0" fontId="3" fillId="3" borderId="33" xfId="0" applyFont="1" applyFill="1" applyBorder="1" applyAlignment="1">
      <alignment horizontal="center" wrapText="1"/>
    </xf>
    <xf numFmtId="0" fontId="3" fillId="0" borderId="0" xfId="0" applyFont="1"/>
    <xf numFmtId="0" fontId="3" fillId="3" borderId="34" xfId="0" applyFont="1" applyFill="1" applyBorder="1" applyAlignment="1">
      <alignment horizontal="center" wrapText="1"/>
    </xf>
    <xf numFmtId="0" fontId="0" fillId="0" borderId="11" xfId="0" applyBorder="1"/>
    <xf numFmtId="0" fontId="0" fillId="0" borderId="11" xfId="0" applyBorder="1" applyAlignment="1">
      <alignment wrapText="1"/>
    </xf>
    <xf numFmtId="0" fontId="3" fillId="3" borderId="35" xfId="0" applyFont="1" applyFill="1" applyBorder="1" applyAlignment="1">
      <alignment horizontal="center" wrapText="1"/>
    </xf>
    <xf numFmtId="0" fontId="0" fillId="0" borderId="16" xfId="0" applyBorder="1"/>
    <xf numFmtId="0" fontId="3" fillId="3" borderId="6" xfId="0" applyFont="1" applyFill="1" applyBorder="1" applyAlignment="1">
      <alignment horizontal="center" wrapText="1"/>
    </xf>
    <xf numFmtId="0" fontId="3" fillId="0" borderId="11" xfId="0" applyFont="1" applyBorder="1"/>
    <xf numFmtId="20" fontId="18" fillId="0" borderId="0" xfId="0" applyNumberFormat="1" applyFont="1" applyAlignment="1">
      <alignment horizontal="center"/>
    </xf>
    <xf numFmtId="0" fontId="18" fillId="0" borderId="0" xfId="0" applyFont="1"/>
    <xf numFmtId="0" fontId="18" fillId="0" borderId="36" xfId="0" applyFont="1" applyBorder="1"/>
    <xf numFmtId="0" fontId="3" fillId="3" borderId="13" xfId="0" applyFont="1" applyFill="1" applyBorder="1" applyAlignment="1">
      <alignment horizontal="center" wrapText="1"/>
    </xf>
    <xf numFmtId="0" fontId="3" fillId="3" borderId="9" xfId="0" applyFont="1" applyFill="1" applyBorder="1" applyAlignment="1">
      <alignment horizontal="center" wrapText="1"/>
    </xf>
    <xf numFmtId="14" fontId="3" fillId="3" borderId="2" xfId="0" applyNumberFormat="1" applyFont="1" applyFill="1" applyBorder="1" applyAlignment="1">
      <alignment horizontal="center" wrapText="1"/>
    </xf>
    <xf numFmtId="20" fontId="3" fillId="3" borderId="2" xfId="0" applyNumberFormat="1" applyFont="1" applyFill="1" applyBorder="1" applyAlignment="1">
      <alignment horizontal="center" wrapText="1"/>
    </xf>
    <xf numFmtId="20" fontId="3" fillId="3" borderId="10" xfId="0" applyNumberFormat="1" applyFont="1" applyFill="1" applyBorder="1" applyAlignment="1">
      <alignment horizontal="center" wrapText="1"/>
    </xf>
    <xf numFmtId="0" fontId="0" fillId="0" borderId="29" xfId="0" applyBorder="1"/>
    <xf numFmtId="0" fontId="3" fillId="3" borderId="29" xfId="0" applyFont="1" applyFill="1" applyBorder="1" applyAlignment="1">
      <alignment horizontal="center" wrapText="1"/>
    </xf>
    <xf numFmtId="0" fontId="3" fillId="3" borderId="12" xfId="0" applyFont="1" applyFill="1" applyBorder="1" applyAlignment="1">
      <alignment horizontal="center" wrapText="1"/>
    </xf>
    <xf numFmtId="14" fontId="3" fillId="3" borderId="11" xfId="0" applyNumberFormat="1" applyFont="1" applyFill="1" applyBorder="1" applyAlignment="1">
      <alignment horizontal="center" wrapText="1"/>
    </xf>
    <xf numFmtId="20" fontId="3" fillId="3" borderId="11" xfId="0" applyNumberFormat="1" applyFont="1" applyFill="1" applyBorder="1" applyAlignment="1">
      <alignment horizontal="center" wrapText="1"/>
    </xf>
    <xf numFmtId="0" fontId="3" fillId="3" borderId="8" xfId="0" applyFont="1" applyFill="1" applyBorder="1" applyAlignment="1">
      <alignment horizontal="center" wrapText="1"/>
    </xf>
    <xf numFmtId="0" fontId="3" fillId="3" borderId="19" xfId="0" applyFont="1" applyFill="1" applyBorder="1" applyAlignment="1">
      <alignment horizontal="left" wrapText="1"/>
    </xf>
    <xf numFmtId="0" fontId="0" fillId="0" borderId="11" xfId="0" applyBorder="1" applyAlignment="1">
      <alignment horizontal="center"/>
    </xf>
    <xf numFmtId="0" fontId="0" fillId="0" borderId="33" xfId="0" applyBorder="1"/>
    <xf numFmtId="0" fontId="0" fillId="0" borderId="27" xfId="0" applyBorder="1"/>
    <xf numFmtId="0" fontId="3" fillId="3" borderId="10" xfId="0" applyFont="1" applyFill="1" applyBorder="1" applyAlignment="1">
      <alignment horizontal="left" wrapText="1"/>
    </xf>
    <xf numFmtId="0" fontId="3" fillId="0" borderId="29" xfId="0" applyFont="1" applyBorder="1"/>
    <xf numFmtId="0" fontId="3" fillId="0" borderId="28" xfId="0" applyFont="1" applyBorder="1"/>
    <xf numFmtId="0" fontId="3" fillId="3" borderId="28" xfId="0" applyFont="1" applyFill="1" applyBorder="1" applyAlignment="1">
      <alignment horizontal="center" wrapText="1"/>
    </xf>
    <xf numFmtId="0" fontId="0" fillId="0" borderId="27" xfId="0" applyBorder="1" applyAlignment="1">
      <alignment horizontal="center"/>
    </xf>
    <xf numFmtId="0" fontId="18" fillId="0" borderId="11" xfId="0" applyFont="1" applyBorder="1"/>
    <xf numFmtId="20" fontId="19" fillId="3" borderId="15" xfId="0" applyNumberFormat="1" applyFont="1" applyFill="1" applyBorder="1" applyAlignment="1">
      <alignment horizontal="center" wrapText="1"/>
    </xf>
    <xf numFmtId="0" fontId="0" fillId="5" borderId="11" xfId="0" applyFill="1" applyBorder="1"/>
    <xf numFmtId="20" fontId="18" fillId="0" borderId="11" xfId="0" applyNumberFormat="1" applyFont="1" applyBorder="1" applyAlignment="1">
      <alignment horizontal="center"/>
    </xf>
    <xf numFmtId="0" fontId="3" fillId="0" borderId="16" xfId="0" applyFont="1" applyBorder="1"/>
    <xf numFmtId="0" fontId="3" fillId="0" borderId="16" xfId="0" applyFont="1" applyBorder="1" applyAlignment="1">
      <alignment wrapText="1"/>
    </xf>
    <xf numFmtId="0" fontId="11" fillId="3" borderId="11" xfId="0" applyFont="1" applyFill="1" applyBorder="1" applyAlignment="1">
      <alignment horizontal="center" wrapText="1"/>
    </xf>
    <xf numFmtId="0" fontId="11" fillId="3" borderId="11" xfId="0" applyFont="1" applyFill="1" applyBorder="1" applyAlignment="1">
      <alignment horizontal="center" wrapText="1"/>
    </xf>
    <xf numFmtId="14" fontId="11" fillId="3" borderId="11" xfId="0" applyNumberFormat="1" applyFont="1" applyFill="1" applyBorder="1" applyAlignment="1">
      <alignment horizontal="center" wrapText="1"/>
    </xf>
    <xf numFmtId="20" fontId="12" fillId="0" borderId="15" xfId="0" applyNumberFormat="1" applyFont="1" applyBorder="1"/>
    <xf numFmtId="20" fontId="11" fillId="3" borderId="11" xfId="0" applyNumberFormat="1" applyFont="1" applyFill="1" applyBorder="1" applyAlignment="1">
      <alignment horizontal="center" wrapText="1"/>
    </xf>
    <xf numFmtId="0" fontId="12" fillId="0" borderId="15" xfId="0" applyFont="1" applyBorder="1"/>
    <xf numFmtId="20" fontId="12" fillId="0" borderId="7" xfId="0" applyNumberFormat="1" applyFont="1" applyBorder="1"/>
    <xf numFmtId="0" fontId="12" fillId="0" borderId="7" xfId="0" applyFont="1" applyBorder="1"/>
    <xf numFmtId="0" fontId="11" fillId="3" borderId="29" xfId="0" applyFont="1" applyFill="1" applyBorder="1" applyAlignment="1">
      <alignment horizontal="center" wrapText="1"/>
    </xf>
    <xf numFmtId="0" fontId="13"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811F-7FBF-444D-B5A3-6E2252EA9C6A}">
  <dimension ref="A1:I227"/>
  <sheetViews>
    <sheetView workbookViewId="0">
      <selection sqref="A1:XFD1048576"/>
    </sheetView>
  </sheetViews>
  <sheetFormatPr defaultRowHeight="14.4" x14ac:dyDescent="0.3"/>
  <cols>
    <col min="1" max="1" width="11.5546875" customWidth="1"/>
    <col min="2" max="2" width="5.88671875" customWidth="1"/>
    <col min="3" max="3" width="6.5546875" customWidth="1"/>
    <col min="4" max="4" width="6.44140625" customWidth="1"/>
    <col min="5" max="5" width="11" customWidth="1"/>
    <col min="7" max="7" width="91.33203125" customWidth="1"/>
    <col min="8" max="8" width="24.33203125" customWidth="1"/>
    <col min="9" max="9" width="29.109375" customWidth="1"/>
  </cols>
  <sheetData>
    <row r="1" spans="1:9" ht="36.6" x14ac:dyDescent="0.7">
      <c r="A1" s="1" t="s">
        <v>0</v>
      </c>
      <c r="B1" s="2"/>
      <c r="C1" s="2"/>
      <c r="D1" s="2"/>
      <c r="E1" s="2"/>
      <c r="F1" s="2"/>
      <c r="G1" s="2"/>
      <c r="H1" s="2"/>
      <c r="I1" s="3"/>
    </row>
    <row r="2" spans="1:9" x14ac:dyDescent="0.3">
      <c r="A2" s="4" t="s">
        <v>1</v>
      </c>
      <c r="B2" s="4" t="s">
        <v>2</v>
      </c>
      <c r="C2" s="5" t="s">
        <v>3</v>
      </c>
      <c r="D2" s="6"/>
      <c r="E2" s="4" t="s">
        <v>4</v>
      </c>
      <c r="F2" s="4" t="s">
        <v>5</v>
      </c>
      <c r="G2" s="4" t="s">
        <v>6</v>
      </c>
      <c r="H2" s="4" t="s">
        <v>7</v>
      </c>
      <c r="I2" s="4" t="s">
        <v>8</v>
      </c>
    </row>
    <row r="3" spans="1:9" x14ac:dyDescent="0.3">
      <c r="A3" s="7"/>
      <c r="B3" s="7"/>
      <c r="C3" s="8" t="s">
        <v>9</v>
      </c>
      <c r="D3" s="8" t="s">
        <v>10</v>
      </c>
      <c r="E3" s="7"/>
      <c r="F3" s="7"/>
      <c r="G3" s="7"/>
      <c r="H3" s="7"/>
      <c r="I3" s="7"/>
    </row>
    <row r="4" spans="1:9" x14ac:dyDescent="0.3">
      <c r="A4" s="9" t="s">
        <v>11</v>
      </c>
      <c r="B4" s="8" t="s">
        <v>12</v>
      </c>
      <c r="C4" s="10">
        <v>0.30555555555555558</v>
      </c>
      <c r="D4" s="10">
        <v>0.3263888888888889</v>
      </c>
      <c r="E4" s="11">
        <f t="shared" ref="E4:E32" si="0">(D4-C4)*1440</f>
        <v>29.999999999999972</v>
      </c>
      <c r="F4" s="8" t="s">
        <v>13</v>
      </c>
      <c r="G4" s="8" t="s">
        <v>14</v>
      </c>
      <c r="H4" s="8" t="s">
        <v>15</v>
      </c>
      <c r="I4" s="8" t="s">
        <v>16</v>
      </c>
    </row>
    <row r="5" spans="1:9" x14ac:dyDescent="0.3">
      <c r="A5" s="9" t="s">
        <v>11</v>
      </c>
      <c r="B5" s="8" t="s">
        <v>12</v>
      </c>
      <c r="C5" s="10">
        <v>0.3263888888888889</v>
      </c>
      <c r="D5" s="10">
        <v>0.3298611111111111</v>
      </c>
      <c r="E5" s="11">
        <f t="shared" si="0"/>
        <v>4.9999999999999822</v>
      </c>
      <c r="F5" s="8" t="s">
        <v>13</v>
      </c>
      <c r="G5" s="8" t="s">
        <v>17</v>
      </c>
      <c r="H5" s="8" t="s">
        <v>18</v>
      </c>
      <c r="I5" s="8" t="s">
        <v>19</v>
      </c>
    </row>
    <row r="6" spans="1:9" x14ac:dyDescent="0.3">
      <c r="A6" s="9" t="s">
        <v>11</v>
      </c>
      <c r="B6" s="8" t="s">
        <v>12</v>
      </c>
      <c r="C6" s="10">
        <v>0.3298611111111111</v>
      </c>
      <c r="D6" s="10">
        <v>0.34375</v>
      </c>
      <c r="E6" s="11">
        <f t="shared" si="0"/>
        <v>20.000000000000007</v>
      </c>
      <c r="F6" s="8" t="s">
        <v>13</v>
      </c>
      <c r="G6" s="8" t="s">
        <v>20</v>
      </c>
      <c r="H6" s="8" t="s">
        <v>21</v>
      </c>
      <c r="I6" s="8" t="s">
        <v>19</v>
      </c>
    </row>
    <row r="7" spans="1:9" x14ac:dyDescent="0.3">
      <c r="A7" s="9" t="s">
        <v>11</v>
      </c>
      <c r="B7" s="8" t="s">
        <v>12</v>
      </c>
      <c r="C7" s="10">
        <v>0.34375</v>
      </c>
      <c r="D7" s="10">
        <v>0.34722222222222221</v>
      </c>
      <c r="E7" s="11">
        <f t="shared" si="0"/>
        <v>4.9999999999999822</v>
      </c>
      <c r="F7" s="8" t="s">
        <v>13</v>
      </c>
      <c r="G7" s="8" t="s">
        <v>22</v>
      </c>
      <c r="H7" s="8" t="s">
        <v>18</v>
      </c>
      <c r="I7" s="8" t="s">
        <v>23</v>
      </c>
    </row>
    <row r="8" spans="1:9" x14ac:dyDescent="0.3">
      <c r="A8" s="9" t="s">
        <v>11</v>
      </c>
      <c r="B8" s="8" t="s">
        <v>12</v>
      </c>
      <c r="C8" s="10">
        <v>0.34722222222222221</v>
      </c>
      <c r="D8" s="10">
        <v>0.35416666666666669</v>
      </c>
      <c r="E8" s="11">
        <f t="shared" si="0"/>
        <v>10.000000000000044</v>
      </c>
      <c r="F8" s="8" t="s">
        <v>13</v>
      </c>
      <c r="G8" s="8" t="s">
        <v>24</v>
      </c>
      <c r="H8" s="8" t="s">
        <v>25</v>
      </c>
      <c r="I8" s="8" t="s">
        <v>26</v>
      </c>
    </row>
    <row r="9" spans="1:9" x14ac:dyDescent="0.3">
      <c r="A9" s="9" t="s">
        <v>11</v>
      </c>
      <c r="B9" s="8" t="s">
        <v>12</v>
      </c>
      <c r="C9" s="10">
        <v>0.35416666666666669</v>
      </c>
      <c r="D9" s="10">
        <v>0.3611111111111111</v>
      </c>
      <c r="E9" s="11">
        <f t="shared" si="0"/>
        <v>9.9999999999999645</v>
      </c>
      <c r="F9" s="8" t="s">
        <v>13</v>
      </c>
      <c r="G9" s="8" t="s">
        <v>27</v>
      </c>
      <c r="H9" s="8" t="s">
        <v>25</v>
      </c>
      <c r="I9" s="8" t="s">
        <v>23</v>
      </c>
    </row>
    <row r="10" spans="1:9" x14ac:dyDescent="0.3">
      <c r="A10" s="9" t="s">
        <v>11</v>
      </c>
      <c r="B10" s="8" t="s">
        <v>12</v>
      </c>
      <c r="C10" s="10">
        <v>0.3611111111111111</v>
      </c>
      <c r="D10" s="10">
        <v>0.36458333333333331</v>
      </c>
      <c r="E10" s="11">
        <f t="shared" si="0"/>
        <v>4.9999999999999822</v>
      </c>
      <c r="F10" s="8" t="s">
        <v>13</v>
      </c>
      <c r="G10" s="8" t="s">
        <v>28</v>
      </c>
      <c r="H10" s="8" t="s">
        <v>25</v>
      </c>
      <c r="I10" s="8" t="s">
        <v>23</v>
      </c>
    </row>
    <row r="11" spans="1:9" x14ac:dyDescent="0.3">
      <c r="A11" s="9" t="s">
        <v>11</v>
      </c>
      <c r="B11" s="8" t="s">
        <v>12</v>
      </c>
      <c r="C11" s="10">
        <v>0.36458333333333331</v>
      </c>
      <c r="D11" s="10">
        <v>0.375</v>
      </c>
      <c r="E11" s="11">
        <f t="shared" si="0"/>
        <v>15.000000000000027</v>
      </c>
      <c r="F11" s="8" t="s">
        <v>13</v>
      </c>
      <c r="G11" s="8" t="s">
        <v>29</v>
      </c>
      <c r="H11" s="8" t="s">
        <v>25</v>
      </c>
      <c r="I11" s="8" t="s">
        <v>30</v>
      </c>
    </row>
    <row r="12" spans="1:9" x14ac:dyDescent="0.3">
      <c r="A12" s="9" t="s">
        <v>11</v>
      </c>
      <c r="B12" s="8" t="s">
        <v>12</v>
      </c>
      <c r="C12" s="10">
        <v>0.375</v>
      </c>
      <c r="D12" s="10">
        <v>0.41666666666666669</v>
      </c>
      <c r="E12" s="11">
        <f t="shared" si="0"/>
        <v>60.000000000000028</v>
      </c>
      <c r="F12" s="8" t="s">
        <v>13</v>
      </c>
      <c r="G12" s="8" t="s">
        <v>31</v>
      </c>
      <c r="H12" s="8" t="s">
        <v>32</v>
      </c>
      <c r="I12" s="8" t="s">
        <v>23</v>
      </c>
    </row>
    <row r="13" spans="1:9" x14ac:dyDescent="0.3">
      <c r="A13" s="9" t="s">
        <v>11</v>
      </c>
      <c r="B13" s="8" t="s">
        <v>12</v>
      </c>
      <c r="C13" s="10">
        <v>0.40972222222222221</v>
      </c>
      <c r="D13" s="10">
        <v>0.41666666666666669</v>
      </c>
      <c r="E13" s="11">
        <f t="shared" si="0"/>
        <v>10.000000000000044</v>
      </c>
      <c r="F13" s="8" t="s">
        <v>13</v>
      </c>
      <c r="G13" s="8" t="s">
        <v>33</v>
      </c>
      <c r="H13" s="8" t="s">
        <v>25</v>
      </c>
      <c r="I13" s="8" t="s">
        <v>34</v>
      </c>
    </row>
    <row r="14" spans="1:9" x14ac:dyDescent="0.3">
      <c r="A14" s="9" t="s">
        <v>11</v>
      </c>
      <c r="B14" s="8" t="s">
        <v>12</v>
      </c>
      <c r="C14" s="10">
        <v>0.41666666666666669</v>
      </c>
      <c r="D14" s="10">
        <v>0.4236111111111111</v>
      </c>
      <c r="E14" s="11">
        <f t="shared" si="0"/>
        <v>9.9999999999999645</v>
      </c>
      <c r="F14" s="8" t="s">
        <v>13</v>
      </c>
      <c r="G14" s="8" t="s">
        <v>35</v>
      </c>
      <c r="H14" s="8" t="s">
        <v>36</v>
      </c>
      <c r="I14" s="8" t="s">
        <v>23</v>
      </c>
    </row>
    <row r="15" spans="1:9" x14ac:dyDescent="0.3">
      <c r="A15" s="9" t="s">
        <v>11</v>
      </c>
      <c r="B15" s="8" t="s">
        <v>12</v>
      </c>
      <c r="C15" s="10">
        <v>0.4236111111111111</v>
      </c>
      <c r="D15" s="10">
        <v>0.43055555555555558</v>
      </c>
      <c r="E15" s="11">
        <f t="shared" si="0"/>
        <v>10.000000000000044</v>
      </c>
      <c r="F15" s="8" t="s">
        <v>13</v>
      </c>
      <c r="G15" s="8" t="s">
        <v>37</v>
      </c>
      <c r="H15" s="8" t="s">
        <v>38</v>
      </c>
      <c r="I15" s="8" t="s">
        <v>23</v>
      </c>
    </row>
    <row r="16" spans="1:9" x14ac:dyDescent="0.3">
      <c r="A16" s="9" t="s">
        <v>11</v>
      </c>
      <c r="B16" s="8" t="s">
        <v>12</v>
      </c>
      <c r="C16" s="10">
        <v>0.43055555555555558</v>
      </c>
      <c r="D16" s="10">
        <v>0.43402777777777779</v>
      </c>
      <c r="E16" s="11">
        <f t="shared" si="0"/>
        <v>4.9999999999999822</v>
      </c>
      <c r="F16" s="8" t="s">
        <v>13</v>
      </c>
      <c r="G16" s="8" t="s">
        <v>39</v>
      </c>
      <c r="H16" s="8" t="s">
        <v>18</v>
      </c>
      <c r="I16" s="8" t="s">
        <v>23</v>
      </c>
    </row>
    <row r="17" spans="1:9" x14ac:dyDescent="0.3">
      <c r="A17" s="9" t="s">
        <v>11</v>
      </c>
      <c r="B17" s="8" t="s">
        <v>12</v>
      </c>
      <c r="C17" s="10">
        <v>0.43402777777777779</v>
      </c>
      <c r="D17" s="10">
        <v>0.4375</v>
      </c>
      <c r="E17" s="11">
        <f t="shared" si="0"/>
        <v>4.9999999999999822</v>
      </c>
      <c r="F17" s="8" t="s">
        <v>13</v>
      </c>
      <c r="G17" s="8" t="s">
        <v>40</v>
      </c>
      <c r="H17" s="8" t="s">
        <v>25</v>
      </c>
      <c r="I17" s="8" t="s">
        <v>23</v>
      </c>
    </row>
    <row r="18" spans="1:9" x14ac:dyDescent="0.3">
      <c r="A18" s="9" t="s">
        <v>11</v>
      </c>
      <c r="B18" s="8" t="s">
        <v>12</v>
      </c>
      <c r="C18" s="10">
        <v>0.4375</v>
      </c>
      <c r="D18" s="10">
        <v>0.4548611111111111</v>
      </c>
      <c r="E18" s="11">
        <f t="shared" si="0"/>
        <v>24.999999999999993</v>
      </c>
      <c r="F18" s="8" t="s">
        <v>13</v>
      </c>
      <c r="G18" s="8" t="s">
        <v>41</v>
      </c>
      <c r="H18" s="8" t="s">
        <v>42</v>
      </c>
      <c r="I18" s="8" t="s">
        <v>23</v>
      </c>
    </row>
    <row r="19" spans="1:9" x14ac:dyDescent="0.3">
      <c r="A19" s="9" t="s">
        <v>11</v>
      </c>
      <c r="B19" s="8" t="s">
        <v>12</v>
      </c>
      <c r="C19" s="10">
        <v>0.4548611111111111</v>
      </c>
      <c r="D19" s="10">
        <v>0.45833333333333331</v>
      </c>
      <c r="E19" s="11">
        <f t="shared" si="0"/>
        <v>4.9999999999999822</v>
      </c>
      <c r="F19" s="8" t="s">
        <v>13</v>
      </c>
      <c r="G19" s="8" t="s">
        <v>43</v>
      </c>
      <c r="H19" s="8" t="s">
        <v>44</v>
      </c>
      <c r="I19" s="8" t="s">
        <v>45</v>
      </c>
    </row>
    <row r="20" spans="1:9" x14ac:dyDescent="0.3">
      <c r="A20" s="9" t="s">
        <v>11</v>
      </c>
      <c r="B20" s="8" t="s">
        <v>12</v>
      </c>
      <c r="C20" s="10">
        <v>0.45833333333333331</v>
      </c>
      <c r="D20" s="10">
        <v>0.47916666666666669</v>
      </c>
      <c r="E20" s="11">
        <f t="shared" si="0"/>
        <v>30.000000000000053</v>
      </c>
      <c r="F20" s="8" t="s">
        <v>13</v>
      </c>
      <c r="G20" s="8" t="s">
        <v>46</v>
      </c>
      <c r="H20" s="8" t="s">
        <v>25</v>
      </c>
      <c r="I20" s="8" t="s">
        <v>23</v>
      </c>
    </row>
    <row r="21" spans="1:9" x14ac:dyDescent="0.3">
      <c r="A21" s="9" t="s">
        <v>11</v>
      </c>
      <c r="B21" s="8" t="s">
        <v>12</v>
      </c>
      <c r="C21" s="10">
        <v>0.47916666666666669</v>
      </c>
      <c r="D21" s="10">
        <v>0.50347222222222221</v>
      </c>
      <c r="E21" s="11">
        <f t="shared" si="0"/>
        <v>34.999999999999957</v>
      </c>
      <c r="F21" s="8" t="s">
        <v>13</v>
      </c>
      <c r="G21" s="8" t="s">
        <v>47</v>
      </c>
      <c r="H21" s="8" t="s">
        <v>25</v>
      </c>
      <c r="I21" s="8" t="s">
        <v>23</v>
      </c>
    </row>
    <row r="22" spans="1:9" x14ac:dyDescent="0.3">
      <c r="A22" s="9" t="s">
        <v>11</v>
      </c>
      <c r="B22" s="8" t="s">
        <v>12</v>
      </c>
      <c r="C22" s="10">
        <v>0.50347222222222221</v>
      </c>
      <c r="D22" s="10">
        <v>0.52083333333333337</v>
      </c>
      <c r="E22" s="11">
        <f t="shared" si="0"/>
        <v>25.000000000000071</v>
      </c>
      <c r="F22" s="8" t="s">
        <v>13</v>
      </c>
      <c r="G22" s="8" t="s">
        <v>48</v>
      </c>
      <c r="H22" s="8" t="s">
        <v>36</v>
      </c>
      <c r="I22" s="8" t="s">
        <v>23</v>
      </c>
    </row>
    <row r="23" spans="1:9" x14ac:dyDescent="0.3">
      <c r="A23" s="9" t="s">
        <v>11</v>
      </c>
      <c r="B23" s="8" t="s">
        <v>12</v>
      </c>
      <c r="C23" s="10">
        <v>0.52083333333333337</v>
      </c>
      <c r="D23" s="10">
        <v>0.52430555555555558</v>
      </c>
      <c r="E23" s="11">
        <f t="shared" si="0"/>
        <v>4.9999999999999822</v>
      </c>
      <c r="F23" s="8" t="s">
        <v>13</v>
      </c>
      <c r="G23" s="8" t="s">
        <v>22</v>
      </c>
      <c r="H23" s="8" t="s">
        <v>18</v>
      </c>
      <c r="I23" s="8" t="s">
        <v>23</v>
      </c>
    </row>
    <row r="24" spans="1:9" x14ac:dyDescent="0.3">
      <c r="A24" s="9" t="s">
        <v>11</v>
      </c>
      <c r="B24" s="8" t="s">
        <v>12</v>
      </c>
      <c r="C24" s="10">
        <v>0.52430555555555558</v>
      </c>
      <c r="D24" s="10">
        <v>0.54166666666666663</v>
      </c>
      <c r="E24" s="11">
        <f t="shared" si="0"/>
        <v>24.999999999999911</v>
      </c>
      <c r="F24" s="8" t="s">
        <v>13</v>
      </c>
      <c r="G24" s="8" t="s">
        <v>49</v>
      </c>
      <c r="H24" s="8" t="s">
        <v>25</v>
      </c>
      <c r="I24" s="8" t="s">
        <v>23</v>
      </c>
    </row>
    <row r="25" spans="1:9" x14ac:dyDescent="0.3">
      <c r="A25" s="9" t="s">
        <v>11</v>
      </c>
      <c r="B25" s="8" t="s">
        <v>12</v>
      </c>
      <c r="C25" s="10">
        <v>0.54166666666666663</v>
      </c>
      <c r="D25" s="10">
        <v>0.55208333333333337</v>
      </c>
      <c r="E25" s="11">
        <f t="shared" si="0"/>
        <v>15.000000000000107</v>
      </c>
      <c r="F25" s="8" t="s">
        <v>13</v>
      </c>
      <c r="G25" s="8" t="s">
        <v>50</v>
      </c>
      <c r="H25" s="8" t="s">
        <v>51</v>
      </c>
      <c r="I25" s="8" t="s">
        <v>23</v>
      </c>
    </row>
    <row r="26" spans="1:9" x14ac:dyDescent="0.3">
      <c r="A26" s="9" t="s">
        <v>11</v>
      </c>
      <c r="B26" s="8" t="s">
        <v>12</v>
      </c>
      <c r="C26" s="10">
        <v>0.55208333333333337</v>
      </c>
      <c r="D26" s="10">
        <v>0.56597222222222221</v>
      </c>
      <c r="E26" s="11">
        <f t="shared" si="0"/>
        <v>19.999999999999929</v>
      </c>
      <c r="F26" s="8" t="s">
        <v>13</v>
      </c>
      <c r="G26" s="8" t="s">
        <v>52</v>
      </c>
      <c r="H26" s="8" t="s">
        <v>51</v>
      </c>
      <c r="I26" s="8" t="s">
        <v>23</v>
      </c>
    </row>
    <row r="27" spans="1:9" x14ac:dyDescent="0.3">
      <c r="A27" s="9" t="s">
        <v>11</v>
      </c>
      <c r="B27" s="8" t="s">
        <v>12</v>
      </c>
      <c r="C27" s="10">
        <v>0.56597222222222221</v>
      </c>
      <c r="D27" s="10">
        <v>0.58333333333333337</v>
      </c>
      <c r="E27" s="11">
        <f t="shared" si="0"/>
        <v>25.000000000000071</v>
      </c>
      <c r="F27" s="8" t="s">
        <v>13</v>
      </c>
      <c r="G27" s="8" t="s">
        <v>53</v>
      </c>
      <c r="H27" s="8" t="s">
        <v>51</v>
      </c>
      <c r="I27" s="8" t="s">
        <v>23</v>
      </c>
    </row>
    <row r="28" spans="1:9" x14ac:dyDescent="0.3">
      <c r="A28" s="9" t="s">
        <v>11</v>
      </c>
      <c r="B28" s="8" t="s">
        <v>12</v>
      </c>
      <c r="C28" s="10">
        <v>0.58333333333333337</v>
      </c>
      <c r="D28" s="10">
        <v>0.58680555555555558</v>
      </c>
      <c r="E28" s="11">
        <f t="shared" si="0"/>
        <v>4.9999999999999822</v>
      </c>
      <c r="F28" s="8" t="s">
        <v>13</v>
      </c>
      <c r="G28" s="8" t="s">
        <v>22</v>
      </c>
      <c r="H28" s="8" t="s">
        <v>18</v>
      </c>
      <c r="I28" s="8" t="s">
        <v>23</v>
      </c>
    </row>
    <row r="29" spans="1:9" x14ac:dyDescent="0.3">
      <c r="A29" s="9" t="s">
        <v>11</v>
      </c>
      <c r="B29" s="8" t="s">
        <v>12</v>
      </c>
      <c r="C29" s="10">
        <v>0.58680555555555558</v>
      </c>
      <c r="D29" s="10">
        <v>0.67013888888888884</v>
      </c>
      <c r="E29" s="11">
        <f t="shared" si="0"/>
        <v>119.99999999999989</v>
      </c>
      <c r="F29" s="8" t="s">
        <v>13</v>
      </c>
      <c r="G29" s="12" t="s">
        <v>54</v>
      </c>
      <c r="H29" s="8" t="s">
        <v>55</v>
      </c>
      <c r="I29" s="8" t="s">
        <v>23</v>
      </c>
    </row>
    <row r="30" spans="1:9" x14ac:dyDescent="0.3">
      <c r="A30" s="9" t="s">
        <v>11</v>
      </c>
      <c r="B30" s="8" t="s">
        <v>12</v>
      </c>
      <c r="C30" s="10">
        <v>0.67013888888888884</v>
      </c>
      <c r="D30" s="10">
        <v>0.67361111111111116</v>
      </c>
      <c r="E30" s="11">
        <f t="shared" si="0"/>
        <v>5.0000000000001421</v>
      </c>
      <c r="F30" s="8" t="s">
        <v>13</v>
      </c>
      <c r="G30" s="8" t="s">
        <v>56</v>
      </c>
      <c r="H30" s="8" t="s">
        <v>18</v>
      </c>
      <c r="I30" s="8" t="s">
        <v>23</v>
      </c>
    </row>
    <row r="31" spans="1:9" x14ac:dyDescent="0.3">
      <c r="A31" s="9" t="s">
        <v>11</v>
      </c>
      <c r="B31" s="8" t="s">
        <v>12</v>
      </c>
      <c r="C31" s="10">
        <v>0.67361111111111116</v>
      </c>
      <c r="D31" s="10">
        <v>0.67708333333333337</v>
      </c>
      <c r="E31" s="11">
        <f t="shared" si="0"/>
        <v>4.9999999999999822</v>
      </c>
      <c r="F31" s="8" t="s">
        <v>13</v>
      </c>
      <c r="G31" s="8" t="s">
        <v>57</v>
      </c>
      <c r="H31" s="8" t="s">
        <v>36</v>
      </c>
      <c r="I31" s="8" t="s">
        <v>23</v>
      </c>
    </row>
    <row r="32" spans="1:9" x14ac:dyDescent="0.3">
      <c r="A32" s="9" t="s">
        <v>11</v>
      </c>
      <c r="B32" s="8" t="s">
        <v>12</v>
      </c>
      <c r="C32" s="10">
        <v>0.67708333333333337</v>
      </c>
      <c r="D32" s="10">
        <v>0.69097222222222221</v>
      </c>
      <c r="E32" s="11">
        <f t="shared" si="0"/>
        <v>19.999999999999929</v>
      </c>
      <c r="F32" s="8" t="s">
        <v>13</v>
      </c>
      <c r="G32" s="8" t="s">
        <v>58</v>
      </c>
      <c r="H32" s="8" t="s">
        <v>25</v>
      </c>
      <c r="I32" s="8" t="s">
        <v>23</v>
      </c>
    </row>
    <row r="33" spans="1:9" x14ac:dyDescent="0.3">
      <c r="A33" s="13"/>
      <c r="B33" s="13"/>
      <c r="C33" s="13"/>
      <c r="D33" s="13"/>
      <c r="E33" s="13"/>
      <c r="F33" s="13"/>
      <c r="G33" s="13"/>
      <c r="H33" s="13"/>
      <c r="I33" s="13"/>
    </row>
    <row r="34" spans="1:9" x14ac:dyDescent="0.3">
      <c r="A34" s="4" t="s">
        <v>1</v>
      </c>
      <c r="B34" s="4" t="s">
        <v>2</v>
      </c>
      <c r="C34" s="5" t="s">
        <v>3</v>
      </c>
      <c r="D34" s="6"/>
      <c r="E34" s="4" t="s">
        <v>4</v>
      </c>
      <c r="F34" s="4" t="s">
        <v>5</v>
      </c>
      <c r="G34" s="4" t="s">
        <v>6</v>
      </c>
      <c r="H34" s="4" t="s">
        <v>7</v>
      </c>
      <c r="I34" s="4" t="s">
        <v>8</v>
      </c>
    </row>
    <row r="35" spans="1:9" x14ac:dyDescent="0.3">
      <c r="A35" s="7"/>
      <c r="B35" s="7"/>
      <c r="C35" s="8" t="s">
        <v>9</v>
      </c>
      <c r="D35" s="8" t="s">
        <v>10</v>
      </c>
      <c r="E35" s="7"/>
      <c r="F35" s="7"/>
      <c r="G35" s="7"/>
      <c r="H35" s="7"/>
      <c r="I35" s="7"/>
    </row>
    <row r="36" spans="1:9" x14ac:dyDescent="0.3">
      <c r="A36" s="14">
        <v>45839</v>
      </c>
      <c r="B36" s="8" t="s">
        <v>59</v>
      </c>
      <c r="C36" s="10">
        <v>0.30555555555555558</v>
      </c>
      <c r="D36" s="10">
        <v>0.34027777777777779</v>
      </c>
      <c r="E36" s="11">
        <f t="shared" ref="E36:E61" si="1">(D36-C36)*1440</f>
        <v>49.999999999999986</v>
      </c>
      <c r="F36" s="8" t="s">
        <v>13</v>
      </c>
      <c r="G36" s="8" t="s">
        <v>14</v>
      </c>
      <c r="H36" s="8" t="s">
        <v>15</v>
      </c>
      <c r="I36" s="8" t="s">
        <v>16</v>
      </c>
    </row>
    <row r="37" spans="1:9" x14ac:dyDescent="0.3">
      <c r="A37" s="14">
        <v>45839</v>
      </c>
      <c r="B37" s="8" t="s">
        <v>59</v>
      </c>
      <c r="C37" s="10">
        <v>0.34027777777777779</v>
      </c>
      <c r="D37" s="10">
        <v>0.35069444444444442</v>
      </c>
      <c r="E37" s="11">
        <f t="shared" si="1"/>
        <v>14.999999999999947</v>
      </c>
      <c r="F37" s="8" t="s">
        <v>13</v>
      </c>
      <c r="G37" s="8" t="s">
        <v>60</v>
      </c>
      <c r="H37" s="8" t="s">
        <v>18</v>
      </c>
      <c r="I37" s="8" t="s">
        <v>23</v>
      </c>
    </row>
    <row r="38" spans="1:9" x14ac:dyDescent="0.3">
      <c r="A38" s="14">
        <v>45839</v>
      </c>
      <c r="B38" s="8" t="s">
        <v>59</v>
      </c>
      <c r="C38" s="10">
        <v>0.35069444444444442</v>
      </c>
      <c r="D38" s="10">
        <v>0.3576388888888889</v>
      </c>
      <c r="E38" s="11">
        <f t="shared" si="1"/>
        <v>10.000000000000044</v>
      </c>
      <c r="F38" s="8" t="s">
        <v>13</v>
      </c>
      <c r="G38" s="8" t="s">
        <v>61</v>
      </c>
      <c r="H38" s="8" t="s">
        <v>62</v>
      </c>
      <c r="I38" s="8" t="s">
        <v>23</v>
      </c>
    </row>
    <row r="39" spans="1:9" x14ac:dyDescent="0.3">
      <c r="A39" s="14">
        <v>45839</v>
      </c>
      <c r="B39" s="8" t="s">
        <v>59</v>
      </c>
      <c r="C39" s="10">
        <v>0.3576388888888889</v>
      </c>
      <c r="D39" s="10">
        <v>0.3611111111111111</v>
      </c>
      <c r="E39" s="11">
        <f t="shared" si="1"/>
        <v>4.9999999999999822</v>
      </c>
      <c r="F39" s="8" t="s">
        <v>13</v>
      </c>
      <c r="G39" s="8" t="s">
        <v>63</v>
      </c>
      <c r="H39" s="8" t="s">
        <v>62</v>
      </c>
      <c r="I39" s="8" t="s">
        <v>23</v>
      </c>
    </row>
    <row r="40" spans="1:9" x14ac:dyDescent="0.3">
      <c r="A40" s="14">
        <v>45839</v>
      </c>
      <c r="B40" s="8" t="s">
        <v>59</v>
      </c>
      <c r="C40" s="10">
        <v>0.3611111111111111</v>
      </c>
      <c r="D40" s="10">
        <v>0.39930555555555558</v>
      </c>
      <c r="E40" s="11">
        <f t="shared" si="1"/>
        <v>55.000000000000043</v>
      </c>
      <c r="F40" s="8" t="s">
        <v>13</v>
      </c>
      <c r="G40" s="8" t="s">
        <v>64</v>
      </c>
      <c r="H40" s="8" t="s">
        <v>62</v>
      </c>
      <c r="I40" s="8" t="s">
        <v>23</v>
      </c>
    </row>
    <row r="41" spans="1:9" x14ac:dyDescent="0.3">
      <c r="A41" s="14">
        <v>45839</v>
      </c>
      <c r="B41" s="8" t="s">
        <v>59</v>
      </c>
      <c r="C41" s="10">
        <v>0.39930555555555558</v>
      </c>
      <c r="D41" s="10">
        <v>0.41666666666666669</v>
      </c>
      <c r="E41" s="11">
        <f t="shared" si="1"/>
        <v>24.999999999999993</v>
      </c>
      <c r="F41" s="8" t="s">
        <v>13</v>
      </c>
      <c r="G41" s="15" t="s">
        <v>65</v>
      </c>
      <c r="H41" s="8" t="s">
        <v>62</v>
      </c>
      <c r="I41" s="8" t="s">
        <v>23</v>
      </c>
    </row>
    <row r="42" spans="1:9" x14ac:dyDescent="0.3">
      <c r="A42" s="14">
        <v>45839</v>
      </c>
      <c r="B42" s="8" t="s">
        <v>59</v>
      </c>
      <c r="C42" s="10">
        <v>0.41666666666666669</v>
      </c>
      <c r="D42" s="10">
        <v>0.43055555555555558</v>
      </c>
      <c r="E42" s="11">
        <f t="shared" si="1"/>
        <v>20.000000000000007</v>
      </c>
      <c r="F42" s="8" t="s">
        <v>13</v>
      </c>
      <c r="G42" s="16" t="s">
        <v>66</v>
      </c>
      <c r="H42" s="8" t="s">
        <v>62</v>
      </c>
      <c r="I42" s="8" t="s">
        <v>23</v>
      </c>
    </row>
    <row r="43" spans="1:9" x14ac:dyDescent="0.3">
      <c r="A43" s="14">
        <v>45839</v>
      </c>
      <c r="B43" s="8" t="s">
        <v>59</v>
      </c>
      <c r="C43" s="10">
        <v>0.43055555555555558</v>
      </c>
      <c r="D43" s="10">
        <v>0.43402777777777779</v>
      </c>
      <c r="E43" s="11">
        <f t="shared" si="1"/>
        <v>4.9999999999999822</v>
      </c>
      <c r="F43" s="8" t="s">
        <v>13</v>
      </c>
      <c r="G43" s="8" t="s">
        <v>67</v>
      </c>
      <c r="H43" s="8" t="s">
        <v>18</v>
      </c>
      <c r="I43" s="8" t="s">
        <v>23</v>
      </c>
    </row>
    <row r="44" spans="1:9" x14ac:dyDescent="0.3">
      <c r="A44" s="14">
        <v>45839</v>
      </c>
      <c r="B44" s="8" t="s">
        <v>59</v>
      </c>
      <c r="C44" s="10">
        <v>0.43402777777777779</v>
      </c>
      <c r="D44" s="10">
        <v>0.44791666666666669</v>
      </c>
      <c r="E44" s="11">
        <f t="shared" si="1"/>
        <v>20.000000000000007</v>
      </c>
      <c r="F44" s="8" t="s">
        <v>13</v>
      </c>
      <c r="G44" s="8" t="s">
        <v>68</v>
      </c>
      <c r="H44" s="8" t="s">
        <v>69</v>
      </c>
      <c r="I44" s="8" t="s">
        <v>23</v>
      </c>
    </row>
    <row r="45" spans="1:9" x14ac:dyDescent="0.3">
      <c r="A45" s="14">
        <v>45839</v>
      </c>
      <c r="B45" s="8" t="s">
        <v>59</v>
      </c>
      <c r="C45" s="10">
        <v>0.44791666666666669</v>
      </c>
      <c r="D45" s="10">
        <v>0.4513888888888889</v>
      </c>
      <c r="E45" s="11">
        <f t="shared" si="1"/>
        <v>4.9999999999999822</v>
      </c>
      <c r="F45" s="8" t="s">
        <v>13</v>
      </c>
      <c r="G45" s="8" t="s">
        <v>70</v>
      </c>
      <c r="H45" s="8" t="s">
        <v>18</v>
      </c>
      <c r="I45" s="8" t="s">
        <v>23</v>
      </c>
    </row>
    <row r="46" spans="1:9" x14ac:dyDescent="0.3">
      <c r="A46" s="14">
        <v>45839</v>
      </c>
      <c r="B46" s="8" t="s">
        <v>59</v>
      </c>
      <c r="C46" s="10">
        <v>0.4513888888888889</v>
      </c>
      <c r="D46" s="10">
        <v>0.4548611111111111</v>
      </c>
      <c r="E46" s="11">
        <f t="shared" si="1"/>
        <v>4.9999999999999822</v>
      </c>
      <c r="F46" s="8" t="s">
        <v>13</v>
      </c>
      <c r="G46" s="8" t="s">
        <v>71</v>
      </c>
      <c r="H46" s="8" t="s">
        <v>72</v>
      </c>
      <c r="I46" s="8" t="s">
        <v>23</v>
      </c>
    </row>
    <row r="47" spans="1:9" x14ac:dyDescent="0.3">
      <c r="A47" s="14">
        <v>45839</v>
      </c>
      <c r="B47" s="8" t="s">
        <v>59</v>
      </c>
      <c r="C47" s="10">
        <v>0.4548611111111111</v>
      </c>
      <c r="D47" s="10">
        <v>0.46527777777777779</v>
      </c>
      <c r="E47" s="11">
        <f t="shared" si="1"/>
        <v>15.000000000000027</v>
      </c>
      <c r="F47" s="8" t="s">
        <v>13</v>
      </c>
      <c r="G47" s="8" t="s">
        <v>73</v>
      </c>
      <c r="H47" s="8" t="s">
        <v>62</v>
      </c>
      <c r="I47" s="8" t="s">
        <v>23</v>
      </c>
    </row>
    <row r="48" spans="1:9" x14ac:dyDescent="0.3">
      <c r="A48" s="14">
        <v>45839</v>
      </c>
      <c r="B48" s="8" t="s">
        <v>59</v>
      </c>
      <c r="C48" s="10">
        <v>0.46527777777777779</v>
      </c>
      <c r="D48" s="10">
        <v>0.46875</v>
      </c>
      <c r="E48" s="11">
        <f t="shared" si="1"/>
        <v>4.9999999999999822</v>
      </c>
      <c r="F48" s="8" t="s">
        <v>13</v>
      </c>
      <c r="G48" s="8" t="s">
        <v>74</v>
      </c>
      <c r="H48" s="8" t="s">
        <v>62</v>
      </c>
      <c r="I48" s="8" t="s">
        <v>23</v>
      </c>
    </row>
    <row r="49" spans="1:9" x14ac:dyDescent="0.3">
      <c r="A49" s="14">
        <v>45839</v>
      </c>
      <c r="B49" s="8" t="s">
        <v>59</v>
      </c>
      <c r="C49" s="10">
        <v>0.46875</v>
      </c>
      <c r="D49" s="10">
        <v>0.50694444444444442</v>
      </c>
      <c r="E49" s="11">
        <f t="shared" si="1"/>
        <v>54.999999999999964</v>
      </c>
      <c r="F49" s="8" t="s">
        <v>13</v>
      </c>
      <c r="G49" s="8" t="s">
        <v>75</v>
      </c>
      <c r="H49" s="8" t="s">
        <v>72</v>
      </c>
      <c r="I49" s="8" t="s">
        <v>23</v>
      </c>
    </row>
    <row r="50" spans="1:9" x14ac:dyDescent="0.3">
      <c r="A50" s="14">
        <v>45839</v>
      </c>
      <c r="B50" s="8" t="s">
        <v>59</v>
      </c>
      <c r="C50" s="10">
        <v>0.50694444444444442</v>
      </c>
      <c r="D50" s="10">
        <v>0.54166666666666663</v>
      </c>
      <c r="E50" s="11">
        <f t="shared" si="1"/>
        <v>49.999999999999986</v>
      </c>
      <c r="F50" s="8" t="s">
        <v>13</v>
      </c>
      <c r="G50" s="8" t="s">
        <v>48</v>
      </c>
      <c r="H50" s="8" t="s">
        <v>36</v>
      </c>
      <c r="I50" s="8" t="s">
        <v>23</v>
      </c>
    </row>
    <row r="51" spans="1:9" x14ac:dyDescent="0.3">
      <c r="A51" s="14">
        <v>45839</v>
      </c>
      <c r="B51" s="8" t="s">
        <v>59</v>
      </c>
      <c r="C51" s="10">
        <v>0.54166666666666663</v>
      </c>
      <c r="D51" s="10">
        <v>0.5625</v>
      </c>
      <c r="E51" s="11">
        <f t="shared" si="1"/>
        <v>30.000000000000053</v>
      </c>
      <c r="F51" s="8" t="s">
        <v>13</v>
      </c>
      <c r="G51" s="8" t="s">
        <v>76</v>
      </c>
      <c r="H51" s="8" t="s">
        <v>72</v>
      </c>
      <c r="I51" s="8" t="s">
        <v>23</v>
      </c>
    </row>
    <row r="52" spans="1:9" x14ac:dyDescent="0.3">
      <c r="A52" s="14">
        <v>45839</v>
      </c>
      <c r="B52" s="8" t="s">
        <v>59</v>
      </c>
      <c r="C52" s="10">
        <v>0.5625</v>
      </c>
      <c r="D52" s="10">
        <v>0.625</v>
      </c>
      <c r="E52" s="11">
        <f t="shared" si="1"/>
        <v>90</v>
      </c>
      <c r="F52" s="8" t="s">
        <v>13</v>
      </c>
      <c r="G52" s="8" t="s">
        <v>77</v>
      </c>
      <c r="H52" s="8" t="s">
        <v>78</v>
      </c>
      <c r="I52" s="8" t="s">
        <v>23</v>
      </c>
    </row>
    <row r="53" spans="1:9" x14ac:dyDescent="0.3">
      <c r="A53" s="14">
        <v>45839</v>
      </c>
      <c r="B53" s="8" t="s">
        <v>59</v>
      </c>
      <c r="C53" s="10">
        <v>0.625</v>
      </c>
      <c r="D53" s="10">
        <v>0.64583333333333337</v>
      </c>
      <c r="E53" s="11">
        <f t="shared" si="1"/>
        <v>30.000000000000053</v>
      </c>
      <c r="F53" s="8" t="s">
        <v>13</v>
      </c>
      <c r="G53" s="8" t="s">
        <v>79</v>
      </c>
      <c r="H53" s="8" t="s">
        <v>78</v>
      </c>
      <c r="I53" s="8" t="s">
        <v>23</v>
      </c>
    </row>
    <row r="54" spans="1:9" x14ac:dyDescent="0.3">
      <c r="A54" s="14">
        <v>45839</v>
      </c>
      <c r="B54" s="8" t="s">
        <v>59</v>
      </c>
      <c r="C54" s="10">
        <v>0.64583333333333337</v>
      </c>
      <c r="D54" s="10">
        <v>0.64930555555555558</v>
      </c>
      <c r="E54" s="11">
        <f t="shared" si="1"/>
        <v>4.9999999999999822</v>
      </c>
      <c r="F54" s="8" t="s">
        <v>13</v>
      </c>
      <c r="G54" s="8" t="s">
        <v>80</v>
      </c>
      <c r="H54" s="8" t="s">
        <v>18</v>
      </c>
      <c r="I54" s="8" t="s">
        <v>23</v>
      </c>
    </row>
    <row r="55" spans="1:9" x14ac:dyDescent="0.3">
      <c r="A55" s="14">
        <v>45839</v>
      </c>
      <c r="B55" s="8" t="s">
        <v>59</v>
      </c>
      <c r="C55" s="10">
        <v>0.64930555555555558</v>
      </c>
      <c r="D55" s="10">
        <v>0.67361111111111116</v>
      </c>
      <c r="E55" s="11">
        <f t="shared" si="1"/>
        <v>35.000000000000036</v>
      </c>
      <c r="F55" s="8" t="s">
        <v>13</v>
      </c>
      <c r="G55" s="8" t="s">
        <v>81</v>
      </c>
      <c r="H55" s="8" t="s">
        <v>72</v>
      </c>
      <c r="I55" s="8" t="s">
        <v>23</v>
      </c>
    </row>
    <row r="56" spans="1:9" x14ac:dyDescent="0.3">
      <c r="A56" s="14">
        <v>45839</v>
      </c>
      <c r="B56" s="8" t="s">
        <v>59</v>
      </c>
      <c r="C56" s="10">
        <v>0.67361111111111116</v>
      </c>
      <c r="D56" s="10">
        <v>0.69444444444444442</v>
      </c>
      <c r="E56" s="11">
        <f t="shared" si="1"/>
        <v>29.999999999999893</v>
      </c>
      <c r="F56" s="8" t="s">
        <v>13</v>
      </c>
      <c r="G56" s="8" t="s">
        <v>82</v>
      </c>
      <c r="H56" s="8" t="s">
        <v>83</v>
      </c>
      <c r="I56" s="8" t="s">
        <v>23</v>
      </c>
    </row>
    <row r="57" spans="1:9" x14ac:dyDescent="0.3">
      <c r="A57" s="14">
        <v>45839</v>
      </c>
      <c r="B57" s="8" t="s">
        <v>59</v>
      </c>
      <c r="C57" s="10">
        <v>0.69444444444444442</v>
      </c>
      <c r="D57" s="10">
        <v>0.73958333333333337</v>
      </c>
      <c r="E57" s="11">
        <f t="shared" si="1"/>
        <v>65.000000000000085</v>
      </c>
      <c r="F57" s="8" t="s">
        <v>13</v>
      </c>
      <c r="G57" s="8" t="s">
        <v>84</v>
      </c>
      <c r="H57" s="8" t="s">
        <v>83</v>
      </c>
      <c r="I57" s="8" t="s">
        <v>23</v>
      </c>
    </row>
    <row r="58" spans="1:9" x14ac:dyDescent="0.3">
      <c r="A58" s="14">
        <v>45839</v>
      </c>
      <c r="B58" s="8" t="s">
        <v>59</v>
      </c>
      <c r="C58" s="10">
        <v>0.73958333333333337</v>
      </c>
      <c r="D58" s="10">
        <v>0.77083333333333337</v>
      </c>
      <c r="E58" s="11">
        <f t="shared" si="1"/>
        <v>45</v>
      </c>
      <c r="F58" s="8" t="s">
        <v>13</v>
      </c>
      <c r="G58" s="8" t="s">
        <v>85</v>
      </c>
      <c r="H58" s="8" t="s">
        <v>62</v>
      </c>
      <c r="I58" s="8" t="s">
        <v>23</v>
      </c>
    </row>
    <row r="59" spans="1:9" x14ac:dyDescent="0.3">
      <c r="A59" s="14">
        <v>45839</v>
      </c>
      <c r="B59" s="8" t="s">
        <v>59</v>
      </c>
      <c r="C59" s="10">
        <v>0.77083333333333337</v>
      </c>
      <c r="D59" s="10">
        <v>0.78819444444444442</v>
      </c>
      <c r="E59" s="11">
        <f t="shared" si="1"/>
        <v>24.999999999999911</v>
      </c>
      <c r="F59" s="8" t="s">
        <v>13</v>
      </c>
      <c r="G59" s="8" t="s">
        <v>86</v>
      </c>
      <c r="H59" s="8" t="s">
        <v>36</v>
      </c>
      <c r="I59" s="8" t="s">
        <v>23</v>
      </c>
    </row>
    <row r="60" spans="1:9" x14ac:dyDescent="0.3">
      <c r="A60" s="14">
        <v>45839</v>
      </c>
      <c r="B60" s="8" t="s">
        <v>59</v>
      </c>
      <c r="C60" s="10">
        <v>0.78819444444444442</v>
      </c>
      <c r="D60" s="10">
        <v>0.79861111111111116</v>
      </c>
      <c r="E60" s="11">
        <f t="shared" si="1"/>
        <v>15.000000000000107</v>
      </c>
      <c r="F60" s="8" t="s">
        <v>13</v>
      </c>
      <c r="G60" s="8" t="s">
        <v>87</v>
      </c>
      <c r="H60" s="8" t="s">
        <v>83</v>
      </c>
      <c r="I60" s="8" t="s">
        <v>23</v>
      </c>
    </row>
    <row r="61" spans="1:9" x14ac:dyDescent="0.3">
      <c r="A61" s="14">
        <v>45839</v>
      </c>
      <c r="B61" s="8" t="s">
        <v>59</v>
      </c>
      <c r="C61" s="10">
        <v>0.79861111111111116</v>
      </c>
      <c r="D61" s="10">
        <v>0.80555555555555558</v>
      </c>
      <c r="E61" s="11">
        <f t="shared" si="1"/>
        <v>9.9999999999999645</v>
      </c>
      <c r="F61" s="8" t="s">
        <v>13</v>
      </c>
      <c r="G61" s="8" t="s">
        <v>57</v>
      </c>
      <c r="H61" s="8" t="s">
        <v>36</v>
      </c>
      <c r="I61" s="8" t="s">
        <v>23</v>
      </c>
    </row>
    <row r="62" spans="1:9" ht="15" customHeight="1" x14ac:dyDescent="0.3">
      <c r="A62" s="13"/>
      <c r="B62" s="13"/>
      <c r="C62" s="13"/>
      <c r="D62" s="13"/>
      <c r="E62" s="13"/>
      <c r="F62" s="13"/>
      <c r="G62" s="13"/>
      <c r="H62" s="13"/>
      <c r="I62" s="13"/>
    </row>
    <row r="63" spans="1:9" x14ac:dyDescent="0.3">
      <c r="A63" s="4" t="s">
        <v>1</v>
      </c>
      <c r="B63" s="4" t="s">
        <v>2</v>
      </c>
      <c r="C63" s="5" t="s">
        <v>3</v>
      </c>
      <c r="D63" s="6"/>
      <c r="E63" s="4" t="s">
        <v>4</v>
      </c>
      <c r="F63" s="4" t="s">
        <v>5</v>
      </c>
      <c r="G63" s="4" t="s">
        <v>6</v>
      </c>
      <c r="H63" s="4" t="s">
        <v>7</v>
      </c>
      <c r="I63" s="4" t="s">
        <v>8</v>
      </c>
    </row>
    <row r="64" spans="1:9" x14ac:dyDescent="0.3">
      <c r="A64" s="7"/>
      <c r="B64" s="7"/>
      <c r="C64" s="8" t="s">
        <v>9</v>
      </c>
      <c r="D64" s="8" t="s">
        <v>10</v>
      </c>
      <c r="E64" s="7"/>
      <c r="F64" s="7"/>
      <c r="G64" s="7"/>
      <c r="H64" s="7"/>
      <c r="I64" s="7"/>
    </row>
    <row r="65" spans="1:9" x14ac:dyDescent="0.3">
      <c r="A65" s="14">
        <v>45840</v>
      </c>
      <c r="B65" s="8" t="s">
        <v>88</v>
      </c>
      <c r="C65" s="10">
        <v>0.30555555555555558</v>
      </c>
      <c r="D65" s="10">
        <v>0.33333333333333331</v>
      </c>
      <c r="E65" s="11">
        <f>(D65-C65)*1440</f>
        <v>39.999999999999936</v>
      </c>
      <c r="F65" s="8" t="s">
        <v>13</v>
      </c>
      <c r="G65" s="8" t="s">
        <v>14</v>
      </c>
      <c r="H65" s="8" t="s">
        <v>15</v>
      </c>
      <c r="I65" s="8" t="s">
        <v>16</v>
      </c>
    </row>
    <row r="66" spans="1:9" x14ac:dyDescent="0.3">
      <c r="A66" s="14">
        <v>45840</v>
      </c>
      <c r="B66" s="8" t="s">
        <v>88</v>
      </c>
      <c r="C66" s="10">
        <v>0.33333333333333331</v>
      </c>
      <c r="D66" s="10">
        <v>0.75</v>
      </c>
      <c r="E66" s="11">
        <f>(D66-C66)*1440</f>
        <v>600</v>
      </c>
      <c r="F66" s="8" t="s">
        <v>13</v>
      </c>
      <c r="G66" s="8" t="s">
        <v>89</v>
      </c>
      <c r="H66" s="8" t="s">
        <v>90</v>
      </c>
      <c r="I66" s="8"/>
    </row>
    <row r="67" spans="1:9" x14ac:dyDescent="0.3">
      <c r="A67" s="13"/>
      <c r="B67" s="17"/>
      <c r="C67" s="13"/>
      <c r="D67" s="13"/>
      <c r="E67" s="13"/>
      <c r="F67" s="17"/>
      <c r="G67" s="13"/>
      <c r="H67" s="13"/>
      <c r="I67" s="13"/>
    </row>
    <row r="68" spans="1:9" x14ac:dyDescent="0.3">
      <c r="A68" s="4" t="s">
        <v>1</v>
      </c>
      <c r="B68" s="4" t="s">
        <v>2</v>
      </c>
      <c r="C68" s="5" t="s">
        <v>3</v>
      </c>
      <c r="D68" s="6"/>
      <c r="E68" s="4" t="s">
        <v>4</v>
      </c>
      <c r="F68" s="4" t="s">
        <v>5</v>
      </c>
      <c r="G68" s="4" t="s">
        <v>6</v>
      </c>
      <c r="H68" s="4" t="s">
        <v>7</v>
      </c>
      <c r="I68" s="4" t="s">
        <v>8</v>
      </c>
    </row>
    <row r="69" spans="1:9" x14ac:dyDescent="0.3">
      <c r="A69" s="7"/>
      <c r="B69" s="7"/>
      <c r="C69" s="8" t="s">
        <v>9</v>
      </c>
      <c r="D69" s="8" t="s">
        <v>10</v>
      </c>
      <c r="E69" s="7"/>
      <c r="F69" s="7"/>
      <c r="G69" s="7"/>
      <c r="H69" s="7"/>
      <c r="I69" s="7"/>
    </row>
    <row r="70" spans="1:9" x14ac:dyDescent="0.3">
      <c r="A70" s="14">
        <v>45841</v>
      </c>
      <c r="B70" s="14" t="s">
        <v>91</v>
      </c>
      <c r="C70" s="10">
        <v>0.30555555555555558</v>
      </c>
      <c r="D70" s="10">
        <v>0.33333333333333331</v>
      </c>
      <c r="E70" s="11">
        <f>(D70-C70)*1440</f>
        <v>39.999999999999936</v>
      </c>
      <c r="F70" s="8" t="s">
        <v>13</v>
      </c>
      <c r="G70" s="8" t="s">
        <v>14</v>
      </c>
      <c r="H70" s="8" t="s">
        <v>15</v>
      </c>
      <c r="I70" s="8" t="s">
        <v>16</v>
      </c>
    </row>
    <row r="71" spans="1:9" x14ac:dyDescent="0.3">
      <c r="A71" s="14">
        <v>45841</v>
      </c>
      <c r="B71" s="8" t="s">
        <v>91</v>
      </c>
      <c r="C71" s="10">
        <v>0.33333333333333331</v>
      </c>
      <c r="D71" s="10">
        <v>0.75</v>
      </c>
      <c r="E71" s="11">
        <f>(D71-C71)*1440</f>
        <v>600</v>
      </c>
      <c r="F71" s="8" t="s">
        <v>13</v>
      </c>
      <c r="G71" s="8" t="s">
        <v>92</v>
      </c>
      <c r="H71" s="8" t="s">
        <v>90</v>
      </c>
      <c r="I71" s="8"/>
    </row>
    <row r="72" spans="1:9" x14ac:dyDescent="0.3">
      <c r="A72" s="13"/>
      <c r="B72" s="17"/>
      <c r="C72" s="13"/>
      <c r="D72" s="13"/>
      <c r="E72" s="13"/>
      <c r="F72" s="17"/>
      <c r="G72" s="13"/>
      <c r="H72" s="13"/>
      <c r="I72" s="13"/>
    </row>
    <row r="73" spans="1:9" x14ac:dyDescent="0.3">
      <c r="A73" s="4" t="s">
        <v>1</v>
      </c>
      <c r="B73" s="4" t="s">
        <v>2</v>
      </c>
      <c r="C73" s="5" t="s">
        <v>3</v>
      </c>
      <c r="D73" s="6"/>
      <c r="E73" s="4" t="s">
        <v>4</v>
      </c>
      <c r="F73" s="4" t="s">
        <v>5</v>
      </c>
      <c r="G73" s="4" t="s">
        <v>6</v>
      </c>
      <c r="H73" s="4" t="s">
        <v>7</v>
      </c>
      <c r="I73" s="4" t="s">
        <v>8</v>
      </c>
    </row>
    <row r="74" spans="1:9" x14ac:dyDescent="0.3">
      <c r="A74" s="7"/>
      <c r="B74" s="7"/>
      <c r="C74" s="8" t="s">
        <v>9</v>
      </c>
      <c r="D74" s="8" t="s">
        <v>10</v>
      </c>
      <c r="E74" s="7"/>
      <c r="F74" s="7"/>
      <c r="G74" s="7"/>
      <c r="H74" s="7"/>
      <c r="I74" s="7"/>
    </row>
    <row r="75" spans="1:9" x14ac:dyDescent="0.3">
      <c r="A75" s="14">
        <v>45842</v>
      </c>
      <c r="B75" s="14" t="s">
        <v>93</v>
      </c>
      <c r="C75" s="10">
        <v>0.30555555555555558</v>
      </c>
      <c r="D75" s="10">
        <v>0.33333333333333331</v>
      </c>
      <c r="E75" s="11">
        <f>(D75-C75)*1440</f>
        <v>39.999999999999936</v>
      </c>
      <c r="F75" s="8" t="s">
        <v>13</v>
      </c>
      <c r="G75" s="8" t="s">
        <v>14</v>
      </c>
      <c r="H75" s="8" t="s">
        <v>15</v>
      </c>
      <c r="I75" s="8" t="s">
        <v>16</v>
      </c>
    </row>
    <row r="76" spans="1:9" x14ac:dyDescent="0.3">
      <c r="A76" s="14">
        <v>45842</v>
      </c>
      <c r="B76" s="8" t="s">
        <v>93</v>
      </c>
      <c r="C76" s="10">
        <v>0.33333333333333331</v>
      </c>
      <c r="D76" s="10">
        <v>0.33680555555555558</v>
      </c>
      <c r="E76" s="11">
        <f>(D76-C76)*1440</f>
        <v>5.0000000000000622</v>
      </c>
      <c r="F76" s="8" t="s">
        <v>13</v>
      </c>
      <c r="G76" s="8" t="s">
        <v>94</v>
      </c>
      <c r="H76" s="8" t="s">
        <v>18</v>
      </c>
      <c r="I76" s="8"/>
    </row>
    <row r="77" spans="1:9" x14ac:dyDescent="0.3">
      <c r="A77" s="14">
        <v>45842</v>
      </c>
      <c r="B77" s="8" t="s">
        <v>93</v>
      </c>
      <c r="C77" s="10">
        <v>0.33680555555555558</v>
      </c>
      <c r="D77" s="10">
        <v>0.35416666666666669</v>
      </c>
      <c r="E77" s="11">
        <f>(D77-C77)*1440</f>
        <v>24.999999999999993</v>
      </c>
      <c r="F77" s="8" t="s">
        <v>13</v>
      </c>
      <c r="G77" s="8" t="s">
        <v>95</v>
      </c>
      <c r="H77" s="8" t="s">
        <v>83</v>
      </c>
      <c r="I77" s="8" t="s">
        <v>96</v>
      </c>
    </row>
    <row r="78" spans="1:9" x14ac:dyDescent="0.3">
      <c r="A78" s="14">
        <v>45842</v>
      </c>
      <c r="B78" s="8" t="s">
        <v>93</v>
      </c>
      <c r="C78" s="10">
        <v>0.35416666666666669</v>
      </c>
      <c r="D78" s="10">
        <v>0.38541666666666669</v>
      </c>
      <c r="E78" s="11">
        <f t="shared" ref="E78:E93" si="2">(D78-C78)*1440</f>
        <v>45</v>
      </c>
      <c r="F78" s="8" t="s">
        <v>13</v>
      </c>
      <c r="G78" s="8" t="s">
        <v>97</v>
      </c>
      <c r="H78" s="8" t="s">
        <v>83</v>
      </c>
      <c r="I78" s="8"/>
    </row>
    <row r="79" spans="1:9" x14ac:dyDescent="0.3">
      <c r="A79" s="14">
        <v>45842</v>
      </c>
      <c r="B79" s="8" t="s">
        <v>93</v>
      </c>
      <c r="C79" s="10">
        <v>0.38541666666666669</v>
      </c>
      <c r="D79" s="10">
        <v>0.41319444444444442</v>
      </c>
      <c r="E79" s="11">
        <f t="shared" si="2"/>
        <v>39.999999999999936</v>
      </c>
      <c r="F79" s="8" t="s">
        <v>13</v>
      </c>
      <c r="G79" s="8" t="s">
        <v>98</v>
      </c>
      <c r="H79" s="8" t="s">
        <v>99</v>
      </c>
      <c r="I79" s="8"/>
    </row>
    <row r="80" spans="1:9" x14ac:dyDescent="0.3">
      <c r="A80" s="14">
        <v>45842</v>
      </c>
      <c r="B80" s="8" t="s">
        <v>93</v>
      </c>
      <c r="C80" s="10">
        <v>0.41319444444444442</v>
      </c>
      <c r="D80" s="10">
        <v>0.4201388888888889</v>
      </c>
      <c r="E80" s="11">
        <f t="shared" si="2"/>
        <v>10.000000000000044</v>
      </c>
      <c r="F80" s="8" t="s">
        <v>13</v>
      </c>
      <c r="G80" s="8" t="s">
        <v>100</v>
      </c>
      <c r="H80" s="8" t="s">
        <v>18</v>
      </c>
      <c r="I80" s="8"/>
    </row>
    <row r="81" spans="1:9" x14ac:dyDescent="0.3">
      <c r="A81" s="14">
        <v>45842</v>
      </c>
      <c r="B81" s="8" t="s">
        <v>93</v>
      </c>
      <c r="C81" s="10">
        <v>0.4201388888888889</v>
      </c>
      <c r="D81" s="10">
        <v>0.43055555555555558</v>
      </c>
      <c r="E81" s="11">
        <f t="shared" si="2"/>
        <v>15.000000000000027</v>
      </c>
      <c r="F81" s="8" t="s">
        <v>13</v>
      </c>
      <c r="G81" s="8" t="s">
        <v>101</v>
      </c>
      <c r="H81" s="8" t="s">
        <v>99</v>
      </c>
      <c r="I81" s="8"/>
    </row>
    <row r="82" spans="1:9" x14ac:dyDescent="0.3">
      <c r="A82" s="14">
        <v>45842</v>
      </c>
      <c r="B82" s="8" t="s">
        <v>93</v>
      </c>
      <c r="C82" s="10">
        <v>0.43055555555555558</v>
      </c>
      <c r="D82" s="10">
        <v>0.4375</v>
      </c>
      <c r="E82" s="11">
        <f t="shared" si="2"/>
        <v>9.9999999999999645</v>
      </c>
      <c r="F82" s="8" t="s">
        <v>13</v>
      </c>
      <c r="G82" s="8" t="s">
        <v>102</v>
      </c>
      <c r="H82" s="8" t="s">
        <v>103</v>
      </c>
      <c r="I82" s="8"/>
    </row>
    <row r="83" spans="1:9" x14ac:dyDescent="0.3">
      <c r="A83" s="14">
        <v>45842</v>
      </c>
      <c r="B83" s="8" t="s">
        <v>93</v>
      </c>
      <c r="C83" s="10">
        <v>0.4375</v>
      </c>
      <c r="D83" s="10">
        <v>0.45833333333333331</v>
      </c>
      <c r="E83" s="11">
        <f t="shared" si="2"/>
        <v>29.999999999999972</v>
      </c>
      <c r="F83" s="8" t="s">
        <v>13</v>
      </c>
      <c r="G83" s="8" t="s">
        <v>104</v>
      </c>
      <c r="H83" s="8" t="s">
        <v>62</v>
      </c>
      <c r="I83" s="8"/>
    </row>
    <row r="84" spans="1:9" x14ac:dyDescent="0.3">
      <c r="A84" s="14">
        <v>45842</v>
      </c>
      <c r="B84" s="8" t="s">
        <v>93</v>
      </c>
      <c r="C84" s="10">
        <v>0.45833333333333331</v>
      </c>
      <c r="D84" s="10">
        <v>0.5</v>
      </c>
      <c r="E84" s="11">
        <f t="shared" si="2"/>
        <v>60.000000000000028</v>
      </c>
      <c r="F84" s="8" t="s">
        <v>13</v>
      </c>
      <c r="G84" s="8" t="s">
        <v>105</v>
      </c>
      <c r="H84" s="8" t="s">
        <v>99</v>
      </c>
      <c r="I84" s="8"/>
    </row>
    <row r="85" spans="1:9" x14ac:dyDescent="0.3">
      <c r="A85" s="14">
        <v>45842</v>
      </c>
      <c r="B85" s="8" t="s">
        <v>93</v>
      </c>
      <c r="C85" s="10">
        <v>0.5</v>
      </c>
      <c r="D85" s="10">
        <v>0.54166666666666663</v>
      </c>
      <c r="E85" s="11">
        <f t="shared" si="2"/>
        <v>59.999999999999943</v>
      </c>
      <c r="F85" s="8" t="s">
        <v>13</v>
      </c>
      <c r="G85" s="8" t="s">
        <v>48</v>
      </c>
      <c r="H85" s="8" t="s">
        <v>36</v>
      </c>
      <c r="I85" s="8"/>
    </row>
    <row r="86" spans="1:9" x14ac:dyDescent="0.3">
      <c r="A86" s="14">
        <v>45842</v>
      </c>
      <c r="B86" s="8" t="s">
        <v>93</v>
      </c>
      <c r="C86" s="10">
        <v>0.54166666666666663</v>
      </c>
      <c r="D86" s="10">
        <v>0.58333333333333337</v>
      </c>
      <c r="E86" s="11">
        <f t="shared" si="2"/>
        <v>60.000000000000107</v>
      </c>
      <c r="F86" s="8" t="s">
        <v>13</v>
      </c>
      <c r="G86" s="8" t="s">
        <v>106</v>
      </c>
      <c r="H86" s="8" t="s">
        <v>107</v>
      </c>
      <c r="I86" s="8"/>
    </row>
    <row r="87" spans="1:9" x14ac:dyDescent="0.3">
      <c r="A87" s="14">
        <v>45842</v>
      </c>
      <c r="B87" s="8" t="s">
        <v>93</v>
      </c>
      <c r="C87" s="10">
        <v>0.58333333333333337</v>
      </c>
      <c r="D87" s="10">
        <v>0.60416666666666663</v>
      </c>
      <c r="E87" s="11">
        <f t="shared" si="2"/>
        <v>29.999999999999893</v>
      </c>
      <c r="F87" s="8" t="s">
        <v>13</v>
      </c>
      <c r="G87" s="8" t="s">
        <v>108</v>
      </c>
      <c r="H87" s="8" t="s">
        <v>107</v>
      </c>
      <c r="I87" s="8"/>
    </row>
    <row r="88" spans="1:9" x14ac:dyDescent="0.3">
      <c r="A88" s="14">
        <v>45842</v>
      </c>
      <c r="B88" s="8" t="s">
        <v>93</v>
      </c>
      <c r="C88" s="10">
        <v>0.60416666666666663</v>
      </c>
      <c r="D88" s="10">
        <v>0.61458333333333337</v>
      </c>
      <c r="E88" s="11">
        <f t="shared" si="2"/>
        <v>15.000000000000107</v>
      </c>
      <c r="F88" s="8" t="s">
        <v>13</v>
      </c>
      <c r="G88" s="8" t="s">
        <v>109</v>
      </c>
      <c r="H88" s="8" t="s">
        <v>107</v>
      </c>
      <c r="I88" s="8"/>
    </row>
    <row r="89" spans="1:9" x14ac:dyDescent="0.3">
      <c r="A89" s="14">
        <v>45842</v>
      </c>
      <c r="B89" s="8" t="s">
        <v>93</v>
      </c>
      <c r="C89" s="10">
        <v>0.61458333333333337</v>
      </c>
      <c r="D89" s="10">
        <v>0.63194444444444442</v>
      </c>
      <c r="E89" s="11">
        <f t="shared" si="2"/>
        <v>24.999999999999911</v>
      </c>
      <c r="F89" s="8" t="s">
        <v>13</v>
      </c>
      <c r="G89" s="8" t="s">
        <v>110</v>
      </c>
      <c r="H89" s="8" t="s">
        <v>69</v>
      </c>
      <c r="I89" s="8"/>
    </row>
    <row r="90" spans="1:9" x14ac:dyDescent="0.3">
      <c r="A90" s="14">
        <v>45842</v>
      </c>
      <c r="B90" s="8" t="s">
        <v>93</v>
      </c>
      <c r="C90" s="10">
        <v>0.63194444444444442</v>
      </c>
      <c r="D90" s="10">
        <v>0.63888888888888884</v>
      </c>
      <c r="E90" s="11">
        <f t="shared" si="2"/>
        <v>9.9999999999999645</v>
      </c>
      <c r="F90" s="8" t="s">
        <v>13</v>
      </c>
      <c r="G90" s="8" t="s">
        <v>111</v>
      </c>
      <c r="H90" s="8" t="s">
        <v>36</v>
      </c>
      <c r="I90" s="8"/>
    </row>
    <row r="91" spans="1:9" x14ac:dyDescent="0.3">
      <c r="A91" s="14">
        <v>45842</v>
      </c>
      <c r="B91" s="8" t="s">
        <v>93</v>
      </c>
      <c r="C91" s="10">
        <v>0.63888888888888884</v>
      </c>
      <c r="D91" s="10">
        <v>0.64236111111111116</v>
      </c>
      <c r="E91" s="11">
        <f t="shared" si="2"/>
        <v>5.0000000000001421</v>
      </c>
      <c r="F91" s="8" t="s">
        <v>13</v>
      </c>
      <c r="G91" s="8" t="s">
        <v>112</v>
      </c>
      <c r="H91" s="8" t="s">
        <v>18</v>
      </c>
      <c r="I91" s="8"/>
    </row>
    <row r="92" spans="1:9" x14ac:dyDescent="0.3">
      <c r="A92" s="14">
        <v>45842</v>
      </c>
      <c r="B92" s="8" t="s">
        <v>93</v>
      </c>
      <c r="C92" s="10">
        <v>0.64236111111111116</v>
      </c>
      <c r="D92" s="10">
        <v>0.66666666666666663</v>
      </c>
      <c r="E92" s="11">
        <f t="shared" si="2"/>
        <v>34.999999999999872</v>
      </c>
      <c r="F92" s="8" t="s">
        <v>13</v>
      </c>
      <c r="G92" s="8" t="s">
        <v>113</v>
      </c>
      <c r="H92" s="8" t="s">
        <v>107</v>
      </c>
      <c r="I92" s="8" t="s">
        <v>114</v>
      </c>
    </row>
    <row r="93" spans="1:9" x14ac:dyDescent="0.3">
      <c r="A93" s="14">
        <v>45842</v>
      </c>
      <c r="B93" s="8" t="s">
        <v>93</v>
      </c>
      <c r="C93" s="10">
        <v>0.66666666666666663</v>
      </c>
      <c r="D93" s="10">
        <v>0.69791666666666663</v>
      </c>
      <c r="E93" s="11">
        <f t="shared" si="2"/>
        <v>45</v>
      </c>
      <c r="F93" s="8" t="s">
        <v>13</v>
      </c>
      <c r="G93" s="8" t="s">
        <v>115</v>
      </c>
      <c r="H93" s="8" t="s">
        <v>107</v>
      </c>
      <c r="I93" s="8"/>
    </row>
    <row r="95" spans="1:9" x14ac:dyDescent="0.3">
      <c r="A95" s="13"/>
      <c r="B95" s="17"/>
      <c r="C95" s="13"/>
      <c r="D95" s="13"/>
      <c r="E95" s="13"/>
      <c r="F95" s="17"/>
      <c r="G95" s="13"/>
      <c r="H95" s="13"/>
      <c r="I95" s="13"/>
    </row>
    <row r="96" spans="1:9" ht="36.6" x14ac:dyDescent="0.7">
      <c r="A96" s="1" t="s">
        <v>116</v>
      </c>
      <c r="B96" s="2"/>
      <c r="C96" s="2"/>
      <c r="D96" s="2"/>
      <c r="E96" s="2"/>
      <c r="F96" s="2"/>
      <c r="G96" s="2"/>
      <c r="H96" s="2"/>
      <c r="I96" s="3"/>
    </row>
    <row r="97" spans="1:9" x14ac:dyDescent="0.3">
      <c r="A97" s="13"/>
      <c r="B97" s="17"/>
      <c r="C97" s="13"/>
      <c r="D97" s="13"/>
      <c r="E97" s="13"/>
      <c r="F97" s="17"/>
      <c r="G97" s="13"/>
      <c r="H97" s="13"/>
      <c r="I97" s="13"/>
    </row>
    <row r="98" spans="1:9" x14ac:dyDescent="0.3">
      <c r="A98" s="4" t="s">
        <v>1</v>
      </c>
      <c r="B98" s="4" t="s">
        <v>2</v>
      </c>
      <c r="C98" s="5" t="s">
        <v>3</v>
      </c>
      <c r="D98" s="6"/>
      <c r="E98" s="4" t="s">
        <v>4</v>
      </c>
      <c r="F98" s="4" t="s">
        <v>5</v>
      </c>
      <c r="G98" s="4" t="s">
        <v>6</v>
      </c>
      <c r="H98" s="4" t="s">
        <v>7</v>
      </c>
      <c r="I98" s="4" t="s">
        <v>8</v>
      </c>
    </row>
    <row r="99" spans="1:9" x14ac:dyDescent="0.3">
      <c r="A99" s="7"/>
      <c r="B99" s="7"/>
      <c r="C99" s="8" t="s">
        <v>9</v>
      </c>
      <c r="D99" s="8" t="s">
        <v>10</v>
      </c>
      <c r="E99" s="7"/>
      <c r="F99" s="7"/>
      <c r="G99" s="7"/>
      <c r="H99" s="7"/>
      <c r="I99" s="7"/>
    </row>
    <row r="100" spans="1:9" x14ac:dyDescent="0.3">
      <c r="A100" s="14">
        <v>45845</v>
      </c>
      <c r="B100" s="14" t="s">
        <v>12</v>
      </c>
      <c r="C100" s="10">
        <v>0.30555555555555558</v>
      </c>
      <c r="D100" s="10">
        <v>0.33333333333333331</v>
      </c>
      <c r="E100" s="11">
        <f>(D100-C100)*1440</f>
        <v>39.999999999999936</v>
      </c>
      <c r="F100" s="8" t="s">
        <v>13</v>
      </c>
      <c r="G100" s="8" t="s">
        <v>14</v>
      </c>
      <c r="H100" s="8" t="s">
        <v>15</v>
      </c>
      <c r="I100" s="8"/>
    </row>
    <row r="101" spans="1:9" x14ac:dyDescent="0.3">
      <c r="A101" s="14">
        <v>45845</v>
      </c>
      <c r="B101" s="14" t="s">
        <v>12</v>
      </c>
      <c r="C101" s="10">
        <v>0.33333333333333331</v>
      </c>
      <c r="D101" s="10">
        <v>0.35416666666666669</v>
      </c>
      <c r="E101" s="11">
        <f>(D101-C101)*1440</f>
        <v>30.000000000000053</v>
      </c>
      <c r="F101" s="8" t="s">
        <v>13</v>
      </c>
      <c r="G101" s="8" t="s">
        <v>117</v>
      </c>
      <c r="H101" s="8" t="s">
        <v>62</v>
      </c>
      <c r="I101" s="8"/>
    </row>
    <row r="102" spans="1:9" x14ac:dyDescent="0.3">
      <c r="A102" s="14">
        <v>45845</v>
      </c>
      <c r="B102" s="14" t="s">
        <v>12</v>
      </c>
      <c r="C102" s="10">
        <v>0.35416666666666669</v>
      </c>
      <c r="D102" s="10">
        <v>0.375</v>
      </c>
      <c r="E102" s="11">
        <f>(D102-C102)*1440</f>
        <v>29.999999999999972</v>
      </c>
      <c r="F102" s="8" t="s">
        <v>13</v>
      </c>
      <c r="G102" s="8" t="s">
        <v>118</v>
      </c>
      <c r="H102" s="8" t="s">
        <v>62</v>
      </c>
      <c r="I102" s="8"/>
    </row>
    <row r="103" spans="1:9" x14ac:dyDescent="0.3">
      <c r="A103" s="14">
        <v>45845</v>
      </c>
      <c r="B103" s="14" t="s">
        <v>12</v>
      </c>
      <c r="C103" s="10">
        <v>0.375</v>
      </c>
      <c r="D103" s="10">
        <v>0.47222222222222221</v>
      </c>
      <c r="E103" s="11">
        <f t="shared" ref="E103:E113" si="3">(D103-C103)*1440</f>
        <v>139.99999999999997</v>
      </c>
      <c r="F103" s="8" t="s">
        <v>13</v>
      </c>
      <c r="G103" s="8" t="s">
        <v>119</v>
      </c>
      <c r="H103" s="8" t="s">
        <v>78</v>
      </c>
      <c r="I103" s="8"/>
    </row>
    <row r="104" spans="1:9" x14ac:dyDescent="0.3">
      <c r="A104" s="14">
        <v>45845</v>
      </c>
      <c r="B104" s="14" t="s">
        <v>12</v>
      </c>
      <c r="C104" s="10">
        <v>0.47222222222222221</v>
      </c>
      <c r="D104" s="10">
        <v>0.47569444444444442</v>
      </c>
      <c r="E104" s="11">
        <f t="shared" si="3"/>
        <v>4.9999999999999822</v>
      </c>
      <c r="F104" s="8" t="s">
        <v>13</v>
      </c>
      <c r="G104" s="8" t="s">
        <v>120</v>
      </c>
      <c r="H104" s="8" t="s">
        <v>18</v>
      </c>
      <c r="I104" s="8"/>
    </row>
    <row r="105" spans="1:9" x14ac:dyDescent="0.3">
      <c r="A105" s="14">
        <v>45845</v>
      </c>
      <c r="B105" s="14" t="s">
        <v>12</v>
      </c>
      <c r="C105" s="10">
        <v>0.47569444444444442</v>
      </c>
      <c r="D105" s="10">
        <v>0.50347222222222221</v>
      </c>
      <c r="E105" s="11">
        <f t="shared" si="3"/>
        <v>40.000000000000014</v>
      </c>
      <c r="F105" s="8" t="s">
        <v>13</v>
      </c>
      <c r="G105" s="8" t="s">
        <v>121</v>
      </c>
      <c r="H105" s="8" t="s">
        <v>122</v>
      </c>
      <c r="I105" s="8"/>
    </row>
    <row r="106" spans="1:9" x14ac:dyDescent="0.3">
      <c r="A106" s="14">
        <v>45845</v>
      </c>
      <c r="B106" s="14" t="s">
        <v>12</v>
      </c>
      <c r="C106" s="10">
        <v>0.50347222222222221</v>
      </c>
      <c r="D106" s="10">
        <v>0.53472222222222221</v>
      </c>
      <c r="E106" s="11">
        <f t="shared" si="3"/>
        <v>45</v>
      </c>
      <c r="F106" s="8" t="s">
        <v>13</v>
      </c>
      <c r="G106" s="8" t="s">
        <v>123</v>
      </c>
      <c r="H106" s="8" t="s">
        <v>36</v>
      </c>
      <c r="I106" s="8"/>
    </row>
    <row r="107" spans="1:9" x14ac:dyDescent="0.3">
      <c r="A107" s="14">
        <v>45845</v>
      </c>
      <c r="B107" s="14" t="s">
        <v>12</v>
      </c>
      <c r="C107" s="10">
        <v>0.53472222222222221</v>
      </c>
      <c r="D107" s="10">
        <v>0.54166666666666663</v>
      </c>
      <c r="E107" s="11">
        <f t="shared" si="3"/>
        <v>9.9999999999999645</v>
      </c>
      <c r="F107" s="8" t="s">
        <v>13</v>
      </c>
      <c r="G107" s="8" t="s">
        <v>124</v>
      </c>
      <c r="H107" s="8" t="s">
        <v>125</v>
      </c>
      <c r="I107" s="8"/>
    </row>
    <row r="108" spans="1:9" x14ac:dyDescent="0.3">
      <c r="A108" s="14">
        <v>45845</v>
      </c>
      <c r="B108" s="14" t="s">
        <v>12</v>
      </c>
      <c r="C108" s="10">
        <v>0.54166666666666663</v>
      </c>
      <c r="D108" s="10">
        <v>0.58333333333333337</v>
      </c>
      <c r="E108" s="11">
        <f t="shared" si="3"/>
        <v>60.000000000000107</v>
      </c>
      <c r="F108" s="8" t="s">
        <v>13</v>
      </c>
      <c r="G108" s="8" t="s">
        <v>126</v>
      </c>
      <c r="H108" s="8" t="s">
        <v>78</v>
      </c>
      <c r="I108" s="8"/>
    </row>
    <row r="109" spans="1:9" x14ac:dyDescent="0.3">
      <c r="A109" s="14">
        <v>45845</v>
      </c>
      <c r="B109" s="14" t="s">
        <v>12</v>
      </c>
      <c r="C109" s="10">
        <v>0.58333333333333337</v>
      </c>
      <c r="D109" s="10">
        <v>0.63541666666666663</v>
      </c>
      <c r="E109" s="11">
        <f t="shared" si="3"/>
        <v>74.999999999999886</v>
      </c>
      <c r="F109" s="8" t="s">
        <v>13</v>
      </c>
      <c r="G109" s="8" t="s">
        <v>127</v>
      </c>
      <c r="H109" s="8" t="s">
        <v>78</v>
      </c>
      <c r="I109" s="8"/>
    </row>
    <row r="110" spans="1:9" x14ac:dyDescent="0.3">
      <c r="A110" s="14">
        <v>45845</v>
      </c>
      <c r="B110" s="14" t="s">
        <v>12</v>
      </c>
      <c r="C110" s="10">
        <v>0.63541666666666663</v>
      </c>
      <c r="D110" s="10">
        <v>0.64583333333333337</v>
      </c>
      <c r="E110" s="11">
        <f t="shared" si="3"/>
        <v>15.000000000000107</v>
      </c>
      <c r="F110" s="8" t="s">
        <v>13</v>
      </c>
      <c r="G110" s="8" t="s">
        <v>111</v>
      </c>
      <c r="H110" s="8" t="s">
        <v>36</v>
      </c>
      <c r="I110" s="8"/>
    </row>
    <row r="111" spans="1:9" x14ac:dyDescent="0.3">
      <c r="A111" s="14">
        <v>45845</v>
      </c>
      <c r="B111" s="14" t="s">
        <v>12</v>
      </c>
      <c r="C111" s="10">
        <v>0.64583333333333337</v>
      </c>
      <c r="D111" s="10">
        <v>0.65972222222222221</v>
      </c>
      <c r="E111" s="11">
        <f t="shared" si="3"/>
        <v>19.999999999999929</v>
      </c>
      <c r="F111" s="8" t="s">
        <v>13</v>
      </c>
      <c r="G111" s="8" t="s">
        <v>128</v>
      </c>
      <c r="H111" s="8" t="s">
        <v>122</v>
      </c>
      <c r="I111" s="8" t="s">
        <v>129</v>
      </c>
    </row>
    <row r="112" spans="1:9" x14ac:dyDescent="0.3">
      <c r="A112" s="14">
        <v>45845</v>
      </c>
      <c r="B112" s="14" t="s">
        <v>12</v>
      </c>
      <c r="C112" s="10">
        <v>0.65972222222222221</v>
      </c>
      <c r="D112" s="10">
        <v>0.66666666666666663</v>
      </c>
      <c r="E112" s="11">
        <f t="shared" si="3"/>
        <v>9.9999999999999645</v>
      </c>
      <c r="F112" s="8" t="s">
        <v>13</v>
      </c>
      <c r="G112" s="8" t="s">
        <v>130</v>
      </c>
      <c r="H112" s="8" t="s">
        <v>69</v>
      </c>
      <c r="I112" s="8"/>
    </row>
    <row r="113" spans="1:9" x14ac:dyDescent="0.3">
      <c r="A113" s="14">
        <v>45845</v>
      </c>
      <c r="B113" s="14" t="s">
        <v>12</v>
      </c>
      <c r="C113" s="10">
        <v>0.66666666666666663</v>
      </c>
      <c r="D113" s="10">
        <v>0.69791666666666663</v>
      </c>
      <c r="E113" s="11">
        <f t="shared" si="3"/>
        <v>45</v>
      </c>
      <c r="F113" s="8" t="s">
        <v>13</v>
      </c>
      <c r="G113" s="8" t="s">
        <v>131</v>
      </c>
      <c r="H113" s="8" t="s">
        <v>69</v>
      </c>
      <c r="I113" s="8"/>
    </row>
    <row r="114" spans="1:9" x14ac:dyDescent="0.3">
      <c r="A114" s="13"/>
      <c r="B114" s="17"/>
      <c r="C114" s="13"/>
      <c r="D114" s="13"/>
      <c r="E114" s="13"/>
      <c r="F114" s="17"/>
      <c r="G114" s="13"/>
      <c r="H114" s="13"/>
      <c r="I114" s="13"/>
    </row>
    <row r="115" spans="1:9" x14ac:dyDescent="0.3">
      <c r="A115" s="4" t="s">
        <v>1</v>
      </c>
      <c r="B115" s="4" t="s">
        <v>2</v>
      </c>
      <c r="C115" s="5" t="s">
        <v>3</v>
      </c>
      <c r="D115" s="6"/>
      <c r="E115" s="4" t="s">
        <v>4</v>
      </c>
      <c r="F115" s="4" t="s">
        <v>5</v>
      </c>
      <c r="G115" s="4" t="s">
        <v>6</v>
      </c>
      <c r="H115" s="4" t="s">
        <v>7</v>
      </c>
      <c r="I115" s="4" t="s">
        <v>8</v>
      </c>
    </row>
    <row r="116" spans="1:9" x14ac:dyDescent="0.3">
      <c r="A116" s="7"/>
      <c r="B116" s="7"/>
      <c r="C116" s="8" t="s">
        <v>9</v>
      </c>
      <c r="D116" s="8" t="s">
        <v>10</v>
      </c>
      <c r="E116" s="7"/>
      <c r="F116" s="7"/>
      <c r="G116" s="7"/>
      <c r="H116" s="7"/>
      <c r="I116" s="7"/>
    </row>
    <row r="117" spans="1:9" x14ac:dyDescent="0.3">
      <c r="A117" s="14">
        <v>45847</v>
      </c>
      <c r="B117" s="14" t="s">
        <v>59</v>
      </c>
      <c r="C117" s="10">
        <v>0.30555555555555558</v>
      </c>
      <c r="D117" s="10">
        <f>C118</f>
        <v>0.34027777777777779</v>
      </c>
      <c r="E117" s="11">
        <f>(D117-C117)*1440</f>
        <v>49.999999999999986</v>
      </c>
      <c r="F117" s="8" t="s">
        <v>13</v>
      </c>
      <c r="G117" s="8" t="s">
        <v>14</v>
      </c>
      <c r="H117" s="8" t="s">
        <v>15</v>
      </c>
      <c r="I117" s="8"/>
    </row>
    <row r="118" spans="1:9" x14ac:dyDescent="0.3">
      <c r="A118" s="14">
        <v>45846</v>
      </c>
      <c r="B118" s="14" t="s">
        <v>59</v>
      </c>
      <c r="C118" s="10">
        <v>0.34027777777777779</v>
      </c>
      <c r="D118" s="10">
        <f t="shared" ref="D118:D130" si="4">C119</f>
        <v>0.34722222222222221</v>
      </c>
      <c r="E118" s="11">
        <f>(D118-C118)*1440</f>
        <v>9.9999999999999645</v>
      </c>
      <c r="F118" s="8" t="s">
        <v>13</v>
      </c>
      <c r="G118" s="8" t="s">
        <v>132</v>
      </c>
      <c r="H118" s="8" t="s">
        <v>62</v>
      </c>
      <c r="I118" s="8"/>
    </row>
    <row r="119" spans="1:9" x14ac:dyDescent="0.3">
      <c r="A119" s="14">
        <v>45846</v>
      </c>
      <c r="B119" s="14" t="s">
        <v>59</v>
      </c>
      <c r="C119" s="10">
        <v>0.34722222222222221</v>
      </c>
      <c r="D119" s="10">
        <f t="shared" si="4"/>
        <v>0.38194444444444442</v>
      </c>
      <c r="E119" s="11">
        <f>(D119-C119)*1440</f>
        <v>49.999999999999986</v>
      </c>
      <c r="F119" s="8" t="s">
        <v>13</v>
      </c>
      <c r="G119" s="8" t="s">
        <v>133</v>
      </c>
      <c r="H119" s="8" t="s">
        <v>62</v>
      </c>
      <c r="I119" s="8"/>
    </row>
    <row r="120" spans="1:9" x14ac:dyDescent="0.3">
      <c r="A120" s="14">
        <v>45846</v>
      </c>
      <c r="B120" s="14" t="s">
        <v>59</v>
      </c>
      <c r="C120" s="10">
        <v>0.38194444444444442</v>
      </c>
      <c r="D120" s="10">
        <f t="shared" si="4"/>
        <v>0.39583333333333331</v>
      </c>
      <c r="E120" s="11">
        <f t="shared" ref="E120:E131" si="5">(D120-C120)*1440</f>
        <v>20.000000000000007</v>
      </c>
      <c r="F120" s="8" t="s">
        <v>13</v>
      </c>
      <c r="G120" s="8" t="s">
        <v>134</v>
      </c>
      <c r="H120" s="8" t="s">
        <v>78</v>
      </c>
      <c r="I120" s="8"/>
    </row>
    <row r="121" spans="1:9" x14ac:dyDescent="0.3">
      <c r="A121" s="14">
        <v>45846</v>
      </c>
      <c r="B121" s="14" t="s">
        <v>59</v>
      </c>
      <c r="C121" s="10">
        <v>0.39583333333333331</v>
      </c>
      <c r="D121" s="10">
        <f t="shared" si="4"/>
        <v>0.41666666666666669</v>
      </c>
      <c r="E121" s="11">
        <f t="shared" si="5"/>
        <v>30.000000000000053</v>
      </c>
      <c r="F121" s="8" t="s">
        <v>13</v>
      </c>
      <c r="G121" s="8" t="s">
        <v>135</v>
      </c>
      <c r="H121" s="8" t="s">
        <v>18</v>
      </c>
      <c r="I121" s="8"/>
    </row>
    <row r="122" spans="1:9" x14ac:dyDescent="0.3">
      <c r="A122" s="14">
        <v>45846</v>
      </c>
      <c r="B122" s="14" t="s">
        <v>59</v>
      </c>
      <c r="C122" s="10">
        <v>0.41666666666666669</v>
      </c>
      <c r="D122" s="10">
        <f t="shared" si="4"/>
        <v>0.42708333333333331</v>
      </c>
      <c r="E122" s="11">
        <f t="shared" si="5"/>
        <v>14.999999999999947</v>
      </c>
      <c r="F122" s="8" t="s">
        <v>13</v>
      </c>
      <c r="G122" s="8" t="s">
        <v>136</v>
      </c>
      <c r="H122" s="8" t="s">
        <v>122</v>
      </c>
      <c r="I122" s="8"/>
    </row>
    <row r="123" spans="1:9" x14ac:dyDescent="0.3">
      <c r="A123" s="14">
        <v>45846</v>
      </c>
      <c r="B123" s="14" t="s">
        <v>59</v>
      </c>
      <c r="C123" s="10">
        <v>0.42708333333333331</v>
      </c>
      <c r="D123" s="10">
        <f t="shared" si="4"/>
        <v>0.47916666666666669</v>
      </c>
      <c r="E123" s="11">
        <f t="shared" si="5"/>
        <v>75.000000000000057</v>
      </c>
      <c r="F123" s="8" t="s">
        <v>13</v>
      </c>
      <c r="G123" s="8" t="s">
        <v>137</v>
      </c>
      <c r="H123" s="8" t="s">
        <v>36</v>
      </c>
      <c r="I123" s="8"/>
    </row>
    <row r="124" spans="1:9" x14ac:dyDescent="0.3">
      <c r="A124" s="14">
        <v>45846</v>
      </c>
      <c r="B124" s="14" t="s">
        <v>59</v>
      </c>
      <c r="C124" s="10">
        <v>0.47916666666666669</v>
      </c>
      <c r="D124" s="10">
        <f t="shared" si="4"/>
        <v>0.5</v>
      </c>
      <c r="E124" s="11">
        <f t="shared" si="5"/>
        <v>29.999999999999972</v>
      </c>
      <c r="F124" s="8" t="s">
        <v>13</v>
      </c>
      <c r="G124" s="8" t="s">
        <v>138</v>
      </c>
      <c r="H124" s="8" t="s">
        <v>125</v>
      </c>
      <c r="I124" s="8"/>
    </row>
    <row r="125" spans="1:9" x14ac:dyDescent="0.3">
      <c r="A125" s="14">
        <v>45846</v>
      </c>
      <c r="B125" s="14" t="s">
        <v>59</v>
      </c>
      <c r="C125" s="10">
        <v>0.5</v>
      </c>
      <c r="D125" s="10">
        <f t="shared" si="4"/>
        <v>0.54166666666666663</v>
      </c>
      <c r="E125" s="11">
        <f t="shared" si="5"/>
        <v>59.999999999999943</v>
      </c>
      <c r="F125" s="8" t="s">
        <v>13</v>
      </c>
      <c r="G125" s="8" t="s">
        <v>48</v>
      </c>
      <c r="H125" s="8" t="s">
        <v>78</v>
      </c>
      <c r="I125" s="8"/>
    </row>
    <row r="126" spans="1:9" x14ac:dyDescent="0.3">
      <c r="A126" s="14">
        <v>45846</v>
      </c>
      <c r="B126" s="14" t="s">
        <v>59</v>
      </c>
      <c r="C126" s="10">
        <v>0.54166666666666663</v>
      </c>
      <c r="D126" s="10">
        <f t="shared" si="4"/>
        <v>0.54513888888888884</v>
      </c>
      <c r="E126" s="11">
        <f t="shared" si="5"/>
        <v>4.9999999999999822</v>
      </c>
      <c r="F126" s="8" t="s">
        <v>13</v>
      </c>
      <c r="G126" s="8" t="s">
        <v>120</v>
      </c>
      <c r="H126" s="8" t="s">
        <v>78</v>
      </c>
      <c r="I126" s="8"/>
    </row>
    <row r="127" spans="1:9" x14ac:dyDescent="0.3">
      <c r="A127" s="14">
        <v>45846</v>
      </c>
      <c r="B127" s="14" t="s">
        <v>59</v>
      </c>
      <c r="C127" s="10">
        <v>0.54513888888888884</v>
      </c>
      <c r="D127" s="10">
        <f t="shared" si="4"/>
        <v>0.61111111111111116</v>
      </c>
      <c r="E127" s="11">
        <f t="shared" si="5"/>
        <v>95.000000000000142</v>
      </c>
      <c r="F127" s="8" t="s">
        <v>13</v>
      </c>
      <c r="G127" s="8" t="s">
        <v>139</v>
      </c>
      <c r="H127" s="8" t="s">
        <v>36</v>
      </c>
      <c r="I127" s="8"/>
    </row>
    <row r="128" spans="1:9" x14ac:dyDescent="0.3">
      <c r="A128" s="14">
        <v>45846</v>
      </c>
      <c r="B128" s="14" t="s">
        <v>59</v>
      </c>
      <c r="C128" s="10">
        <v>0.61111111111111116</v>
      </c>
      <c r="D128" s="10">
        <f t="shared" si="4"/>
        <v>0.63194444444444442</v>
      </c>
      <c r="E128" s="11">
        <f t="shared" si="5"/>
        <v>29.999999999999893</v>
      </c>
      <c r="F128" s="8" t="s">
        <v>13</v>
      </c>
      <c r="G128" s="8" t="s">
        <v>140</v>
      </c>
      <c r="H128" s="8" t="s">
        <v>122</v>
      </c>
      <c r="I128" s="8"/>
    </row>
    <row r="129" spans="1:9" x14ac:dyDescent="0.3">
      <c r="A129" s="14">
        <v>45846</v>
      </c>
      <c r="B129" s="14" t="s">
        <v>59</v>
      </c>
      <c r="C129" s="10">
        <v>0.63194444444444442</v>
      </c>
      <c r="D129" s="10">
        <f t="shared" si="4"/>
        <v>0.63888888888888884</v>
      </c>
      <c r="E129" s="11">
        <f t="shared" si="5"/>
        <v>9.9999999999999645</v>
      </c>
      <c r="F129" s="8" t="s">
        <v>13</v>
      </c>
      <c r="G129" s="8" t="s">
        <v>36</v>
      </c>
      <c r="H129" s="8" t="s">
        <v>69</v>
      </c>
      <c r="I129" s="8"/>
    </row>
    <row r="130" spans="1:9" x14ac:dyDescent="0.3">
      <c r="A130" s="14">
        <v>45846</v>
      </c>
      <c r="B130" s="14" t="s">
        <v>59</v>
      </c>
      <c r="C130" s="10">
        <v>0.63888888888888884</v>
      </c>
      <c r="D130" s="10">
        <f t="shared" si="4"/>
        <v>0.65277777777777779</v>
      </c>
      <c r="E130" s="11">
        <f t="shared" si="5"/>
        <v>20.000000000000089</v>
      </c>
      <c r="F130" s="8" t="s">
        <v>13</v>
      </c>
      <c r="G130" s="8" t="s">
        <v>141</v>
      </c>
      <c r="H130" s="8" t="s">
        <v>69</v>
      </c>
      <c r="I130" s="8"/>
    </row>
    <row r="131" spans="1:9" x14ac:dyDescent="0.3">
      <c r="A131" s="14">
        <v>45846</v>
      </c>
      <c r="B131" s="14" t="s">
        <v>59</v>
      </c>
      <c r="C131" s="10">
        <v>0.65277777777777779</v>
      </c>
      <c r="D131" s="10">
        <v>0.6875</v>
      </c>
      <c r="E131" s="11">
        <f t="shared" si="5"/>
        <v>49.999999999999986</v>
      </c>
      <c r="F131" s="8" t="s">
        <v>13</v>
      </c>
      <c r="G131" s="8" t="s">
        <v>137</v>
      </c>
      <c r="H131" s="8" t="s">
        <v>69</v>
      </c>
      <c r="I131" s="8"/>
    </row>
    <row r="132" spans="1:9" x14ac:dyDescent="0.3">
      <c r="A132" s="13"/>
      <c r="B132" s="17"/>
      <c r="C132" s="13"/>
      <c r="D132" s="13"/>
      <c r="E132" s="13"/>
      <c r="F132" s="17"/>
      <c r="G132" s="13"/>
      <c r="H132" s="13"/>
      <c r="I132" s="13"/>
    </row>
    <row r="133" spans="1:9" x14ac:dyDescent="0.3">
      <c r="A133" s="4" t="s">
        <v>1</v>
      </c>
      <c r="B133" s="4" t="s">
        <v>2</v>
      </c>
      <c r="C133" s="5" t="s">
        <v>3</v>
      </c>
      <c r="D133" s="6"/>
      <c r="E133" s="4" t="s">
        <v>4</v>
      </c>
      <c r="F133" s="4" t="s">
        <v>5</v>
      </c>
      <c r="G133" s="4" t="s">
        <v>6</v>
      </c>
      <c r="H133" s="4" t="s">
        <v>7</v>
      </c>
      <c r="I133" s="4" t="s">
        <v>8</v>
      </c>
    </row>
    <row r="134" spans="1:9" x14ac:dyDescent="0.3">
      <c r="A134" s="7"/>
      <c r="B134" s="7"/>
      <c r="C134" s="8" t="s">
        <v>9</v>
      </c>
      <c r="D134" s="8" t="s">
        <v>10</v>
      </c>
      <c r="E134" s="7"/>
      <c r="F134" s="7"/>
      <c r="G134" s="7"/>
      <c r="H134" s="7"/>
      <c r="I134" s="7"/>
    </row>
    <row r="135" spans="1:9" x14ac:dyDescent="0.3">
      <c r="A135" s="14">
        <v>45847</v>
      </c>
      <c r="B135" s="14" t="s">
        <v>88</v>
      </c>
      <c r="C135" s="10">
        <v>0.30555555555555558</v>
      </c>
      <c r="D135" s="10">
        <f>C136</f>
        <v>0.34027777777777779</v>
      </c>
      <c r="E135" s="11">
        <f>(D135-C135)*1440</f>
        <v>49.999999999999986</v>
      </c>
      <c r="F135" s="8" t="s">
        <v>13</v>
      </c>
      <c r="G135" s="8" t="s">
        <v>14</v>
      </c>
      <c r="H135" s="8" t="s">
        <v>15</v>
      </c>
      <c r="I135" s="8"/>
    </row>
    <row r="136" spans="1:9" x14ac:dyDescent="0.3">
      <c r="A136" s="14">
        <v>45847</v>
      </c>
      <c r="B136" s="14" t="s">
        <v>88</v>
      </c>
      <c r="C136" s="10">
        <v>0.34027777777777779</v>
      </c>
      <c r="D136" s="10">
        <f t="shared" ref="D136:D146" si="6">C137</f>
        <v>0.3611111111111111</v>
      </c>
      <c r="E136" s="11">
        <f>(D136-C136)*1440</f>
        <v>29.999999999999972</v>
      </c>
      <c r="F136" s="8" t="s">
        <v>13</v>
      </c>
      <c r="G136" s="8" t="s">
        <v>24</v>
      </c>
      <c r="H136" s="8" t="s">
        <v>62</v>
      </c>
      <c r="I136" s="8"/>
    </row>
    <row r="137" spans="1:9" x14ac:dyDescent="0.3">
      <c r="A137" s="14">
        <v>45847</v>
      </c>
      <c r="B137" s="14" t="s">
        <v>88</v>
      </c>
      <c r="C137" s="10">
        <v>0.3611111111111111</v>
      </c>
      <c r="D137" s="10">
        <f t="shared" si="6"/>
        <v>0.375</v>
      </c>
      <c r="E137" s="11">
        <f>(D137-C137)*1440</f>
        <v>20.000000000000007</v>
      </c>
      <c r="F137" s="8" t="s">
        <v>13</v>
      </c>
      <c r="G137" s="8" t="s">
        <v>63</v>
      </c>
      <c r="H137" s="8" t="s">
        <v>62</v>
      </c>
      <c r="I137" s="8"/>
    </row>
    <row r="138" spans="1:9" x14ac:dyDescent="0.3">
      <c r="A138" s="14">
        <v>45847</v>
      </c>
      <c r="B138" s="14" t="s">
        <v>88</v>
      </c>
      <c r="C138" s="10">
        <v>0.375</v>
      </c>
      <c r="D138" s="10">
        <f t="shared" si="6"/>
        <v>0.4375</v>
      </c>
      <c r="E138" s="11">
        <f t="shared" ref="E138:E147" si="7">(D138-C138)*1440</f>
        <v>90</v>
      </c>
      <c r="F138" s="8" t="s">
        <v>13</v>
      </c>
      <c r="G138" s="8" t="s">
        <v>142</v>
      </c>
      <c r="H138" s="8" t="s">
        <v>78</v>
      </c>
      <c r="I138" s="8"/>
    </row>
    <row r="139" spans="1:9" x14ac:dyDescent="0.3">
      <c r="A139" s="14">
        <v>45847</v>
      </c>
      <c r="B139" s="14" t="s">
        <v>88</v>
      </c>
      <c r="C139" s="10">
        <v>0.4375</v>
      </c>
      <c r="D139" s="10">
        <f t="shared" si="6"/>
        <v>0.45833333333333331</v>
      </c>
      <c r="E139" s="11">
        <f t="shared" si="7"/>
        <v>29.999999999999972</v>
      </c>
      <c r="F139" s="8" t="s">
        <v>13</v>
      </c>
      <c r="G139" s="8" t="s">
        <v>143</v>
      </c>
      <c r="H139" s="8" t="s">
        <v>18</v>
      </c>
      <c r="I139" s="8"/>
    </row>
    <row r="140" spans="1:9" x14ac:dyDescent="0.3">
      <c r="A140" s="14">
        <v>45847</v>
      </c>
      <c r="B140" s="14" t="s">
        <v>88</v>
      </c>
      <c r="C140" s="10">
        <v>0.45833333333333331</v>
      </c>
      <c r="D140" s="10">
        <f t="shared" si="6"/>
        <v>0.5</v>
      </c>
      <c r="E140" s="11">
        <f t="shared" si="7"/>
        <v>60.000000000000028</v>
      </c>
      <c r="F140" s="8" t="s">
        <v>13</v>
      </c>
      <c r="G140" s="8" t="s">
        <v>144</v>
      </c>
      <c r="H140" s="8" t="s">
        <v>122</v>
      </c>
      <c r="I140" s="8"/>
    </row>
    <row r="141" spans="1:9" x14ac:dyDescent="0.3">
      <c r="A141" s="14">
        <v>45847</v>
      </c>
      <c r="B141" s="14" t="s">
        <v>88</v>
      </c>
      <c r="C141" s="10">
        <v>0.5</v>
      </c>
      <c r="D141" s="10">
        <f t="shared" si="6"/>
        <v>0.54166666666666663</v>
      </c>
      <c r="E141" s="11">
        <f t="shared" si="7"/>
        <v>59.999999999999943</v>
      </c>
      <c r="F141" s="8" t="s">
        <v>13</v>
      </c>
      <c r="G141" s="8" t="s">
        <v>36</v>
      </c>
      <c r="H141" s="8" t="s">
        <v>36</v>
      </c>
      <c r="I141" s="8"/>
    </row>
    <row r="142" spans="1:9" x14ac:dyDescent="0.3">
      <c r="A142" s="14">
        <v>45847</v>
      </c>
      <c r="B142" s="14" t="s">
        <v>88</v>
      </c>
      <c r="C142" s="10">
        <v>0.54166666666666663</v>
      </c>
      <c r="D142" s="10">
        <f t="shared" si="6"/>
        <v>0.58333333333333337</v>
      </c>
      <c r="E142" s="11">
        <f t="shared" si="7"/>
        <v>60.000000000000107</v>
      </c>
      <c r="F142" s="8" t="s">
        <v>13</v>
      </c>
      <c r="G142" s="8" t="s">
        <v>145</v>
      </c>
      <c r="H142" s="8" t="s">
        <v>125</v>
      </c>
      <c r="I142" s="8"/>
    </row>
    <row r="143" spans="1:9" x14ac:dyDescent="0.3">
      <c r="A143" s="14">
        <v>45847</v>
      </c>
      <c r="B143" s="14" t="s">
        <v>88</v>
      </c>
      <c r="C143" s="10">
        <v>0.58333333333333337</v>
      </c>
      <c r="D143" s="10">
        <f t="shared" si="6"/>
        <v>0.625</v>
      </c>
      <c r="E143" s="11">
        <f t="shared" si="7"/>
        <v>59.999999999999943</v>
      </c>
      <c r="F143" s="8" t="s">
        <v>13</v>
      </c>
      <c r="G143" s="8" t="s">
        <v>146</v>
      </c>
      <c r="H143" s="8" t="s">
        <v>78</v>
      </c>
      <c r="I143" s="8"/>
    </row>
    <row r="144" spans="1:9" x14ac:dyDescent="0.3">
      <c r="A144" s="14">
        <v>45847</v>
      </c>
      <c r="B144" s="14" t="s">
        <v>88</v>
      </c>
      <c r="C144" s="10">
        <v>0.625</v>
      </c>
      <c r="D144" s="10">
        <f t="shared" si="6"/>
        <v>0.63541666666666663</v>
      </c>
      <c r="E144" s="11">
        <f t="shared" si="7"/>
        <v>14.999999999999947</v>
      </c>
      <c r="F144" s="8" t="s">
        <v>13</v>
      </c>
      <c r="G144" s="8" t="s">
        <v>111</v>
      </c>
      <c r="H144" s="8" t="s">
        <v>78</v>
      </c>
      <c r="I144" s="8"/>
    </row>
    <row r="145" spans="1:9" x14ac:dyDescent="0.3">
      <c r="A145" s="14">
        <v>45847</v>
      </c>
      <c r="B145" s="14" t="s">
        <v>88</v>
      </c>
      <c r="C145" s="10">
        <v>0.63541666666666663</v>
      </c>
      <c r="D145" s="10">
        <f t="shared" si="6"/>
        <v>0.66666666666666663</v>
      </c>
      <c r="E145" s="11">
        <f t="shared" si="7"/>
        <v>45</v>
      </c>
      <c r="F145" s="8" t="s">
        <v>13</v>
      </c>
      <c r="G145" s="8" t="s">
        <v>147</v>
      </c>
      <c r="H145" s="8" t="s">
        <v>36</v>
      </c>
      <c r="I145" s="8"/>
    </row>
    <row r="146" spans="1:9" x14ac:dyDescent="0.3">
      <c r="A146" s="14">
        <v>45847</v>
      </c>
      <c r="B146" s="14" t="s">
        <v>88</v>
      </c>
      <c r="C146" s="10">
        <v>0.66666666666666663</v>
      </c>
      <c r="D146" s="10">
        <f t="shared" si="6"/>
        <v>0.70833333333333337</v>
      </c>
      <c r="E146" s="11">
        <f t="shared" si="7"/>
        <v>60.000000000000107</v>
      </c>
      <c r="F146" s="8" t="s">
        <v>13</v>
      </c>
      <c r="G146" s="8" t="s">
        <v>148</v>
      </c>
      <c r="H146" s="8" t="s">
        <v>122</v>
      </c>
      <c r="I146" s="8" t="s">
        <v>129</v>
      </c>
    </row>
    <row r="147" spans="1:9" x14ac:dyDescent="0.3">
      <c r="A147" s="14">
        <v>45847</v>
      </c>
      <c r="B147" s="14" t="s">
        <v>88</v>
      </c>
      <c r="C147" s="10">
        <v>0.70833333333333337</v>
      </c>
      <c r="D147" s="10">
        <v>0.72916666666666663</v>
      </c>
      <c r="E147" s="11">
        <f t="shared" si="7"/>
        <v>29.999999999999893</v>
      </c>
      <c r="F147" s="8" t="s">
        <v>13</v>
      </c>
      <c r="G147" s="8" t="s">
        <v>149</v>
      </c>
      <c r="H147" s="8" t="s">
        <v>69</v>
      </c>
      <c r="I147" s="8"/>
    </row>
    <row r="148" spans="1:9" x14ac:dyDescent="0.3">
      <c r="A148" s="13"/>
      <c r="B148" s="17"/>
      <c r="C148" s="13"/>
      <c r="D148" s="13"/>
      <c r="E148" s="13"/>
      <c r="F148" s="17"/>
      <c r="G148" s="13"/>
      <c r="H148" s="13"/>
      <c r="I148" s="13"/>
    </row>
    <row r="149" spans="1:9" x14ac:dyDescent="0.3">
      <c r="A149" s="4" t="s">
        <v>1</v>
      </c>
      <c r="B149" s="4" t="s">
        <v>2</v>
      </c>
      <c r="C149" s="5" t="s">
        <v>3</v>
      </c>
      <c r="D149" s="6"/>
      <c r="E149" s="4" t="s">
        <v>4</v>
      </c>
      <c r="F149" s="4" t="s">
        <v>5</v>
      </c>
      <c r="G149" s="4" t="s">
        <v>6</v>
      </c>
      <c r="H149" s="4" t="s">
        <v>7</v>
      </c>
      <c r="I149" s="4" t="s">
        <v>8</v>
      </c>
    </row>
    <row r="150" spans="1:9" x14ac:dyDescent="0.3">
      <c r="A150" s="7"/>
      <c r="B150" s="7"/>
      <c r="C150" s="8" t="s">
        <v>9</v>
      </c>
      <c r="D150" s="8" t="s">
        <v>10</v>
      </c>
      <c r="E150" s="7"/>
      <c r="F150" s="7"/>
      <c r="G150" s="7"/>
      <c r="H150" s="7"/>
      <c r="I150" s="7"/>
    </row>
    <row r="151" spans="1:9" x14ac:dyDescent="0.3">
      <c r="A151" s="14">
        <v>45848</v>
      </c>
      <c r="B151" s="14" t="s">
        <v>91</v>
      </c>
      <c r="C151" s="10">
        <v>0.30555555555555558</v>
      </c>
      <c r="D151" s="10">
        <f>C152</f>
        <v>0.34027777777777779</v>
      </c>
      <c r="E151" s="11">
        <f>(D151-C151)*1440</f>
        <v>49.999999999999986</v>
      </c>
      <c r="F151" s="8" t="s">
        <v>13</v>
      </c>
      <c r="G151" s="8" t="s">
        <v>14</v>
      </c>
      <c r="H151" s="8" t="s">
        <v>15</v>
      </c>
      <c r="I151" s="8"/>
    </row>
    <row r="152" spans="1:9" x14ac:dyDescent="0.3">
      <c r="A152" s="14">
        <v>45848</v>
      </c>
      <c r="B152" s="14" t="s">
        <v>91</v>
      </c>
      <c r="C152" s="10">
        <v>0.34027777777777779</v>
      </c>
      <c r="D152" s="10">
        <f t="shared" ref="D152:D162" si="8">C153</f>
        <v>0.35416666666666669</v>
      </c>
      <c r="E152" s="11">
        <f>(D152-C152)*1440</f>
        <v>20.000000000000007</v>
      </c>
      <c r="F152" s="8" t="s">
        <v>13</v>
      </c>
      <c r="G152" s="8" t="s">
        <v>63</v>
      </c>
      <c r="H152" s="8" t="s">
        <v>62</v>
      </c>
      <c r="I152" s="8"/>
    </row>
    <row r="153" spans="1:9" x14ac:dyDescent="0.3">
      <c r="A153" s="14">
        <v>45848</v>
      </c>
      <c r="B153" s="14" t="s">
        <v>91</v>
      </c>
      <c r="C153" s="10">
        <v>0.35416666666666669</v>
      </c>
      <c r="D153" s="10">
        <f t="shared" si="8"/>
        <v>0.375</v>
      </c>
      <c r="E153" s="11">
        <f>(D153-C153)*1440</f>
        <v>29.999999999999972</v>
      </c>
      <c r="F153" s="8" t="s">
        <v>13</v>
      </c>
      <c r="G153" s="8" t="s">
        <v>150</v>
      </c>
      <c r="H153" s="8" t="s">
        <v>62</v>
      </c>
      <c r="I153" s="8"/>
    </row>
    <row r="154" spans="1:9" x14ac:dyDescent="0.3">
      <c r="A154" s="14">
        <v>45848</v>
      </c>
      <c r="B154" s="14" t="s">
        <v>91</v>
      </c>
      <c r="C154" s="10">
        <v>0.375</v>
      </c>
      <c r="D154" s="10">
        <f t="shared" si="8"/>
        <v>0.39583333333333331</v>
      </c>
      <c r="E154" s="11">
        <f t="shared" ref="E154:E163" si="9">(D154-C154)*1440</f>
        <v>29.999999999999972</v>
      </c>
      <c r="F154" s="8" t="s">
        <v>13</v>
      </c>
      <c r="G154" s="8" t="s">
        <v>151</v>
      </c>
      <c r="H154" s="8" t="s">
        <v>78</v>
      </c>
      <c r="I154" s="8"/>
    </row>
    <row r="155" spans="1:9" x14ac:dyDescent="0.3">
      <c r="A155" s="14">
        <v>45848</v>
      </c>
      <c r="B155" s="14" t="s">
        <v>91</v>
      </c>
      <c r="C155" s="10">
        <v>0.39583333333333331</v>
      </c>
      <c r="D155" s="10">
        <f t="shared" si="8"/>
        <v>0.39930555555555558</v>
      </c>
      <c r="E155" s="11">
        <f t="shared" si="9"/>
        <v>5.0000000000000622</v>
      </c>
      <c r="F155" s="8" t="s">
        <v>13</v>
      </c>
      <c r="G155" s="8" t="s">
        <v>152</v>
      </c>
      <c r="H155" s="8" t="s">
        <v>18</v>
      </c>
      <c r="I155" s="8"/>
    </row>
    <row r="156" spans="1:9" x14ac:dyDescent="0.3">
      <c r="A156" s="14">
        <v>45848</v>
      </c>
      <c r="B156" s="14" t="s">
        <v>91</v>
      </c>
      <c r="C156" s="10">
        <v>0.39930555555555558</v>
      </c>
      <c r="D156" s="10">
        <f t="shared" si="8"/>
        <v>0.41666666666666669</v>
      </c>
      <c r="E156" s="11">
        <f t="shared" si="9"/>
        <v>24.999999999999993</v>
      </c>
      <c r="F156" s="8" t="s">
        <v>13</v>
      </c>
      <c r="G156" s="8" t="s">
        <v>153</v>
      </c>
      <c r="H156" s="8" t="s">
        <v>122</v>
      </c>
      <c r="I156" s="8"/>
    </row>
    <row r="157" spans="1:9" x14ac:dyDescent="0.3">
      <c r="A157" s="14">
        <v>45848</v>
      </c>
      <c r="B157" s="14" t="s">
        <v>91</v>
      </c>
      <c r="C157" s="10">
        <v>0.41666666666666669</v>
      </c>
      <c r="D157" s="10">
        <f t="shared" si="8"/>
        <v>0.45833333333333331</v>
      </c>
      <c r="E157" s="11">
        <f t="shared" si="9"/>
        <v>59.999999999999943</v>
      </c>
      <c r="F157" s="8" t="s">
        <v>13</v>
      </c>
      <c r="G157" s="8" t="s">
        <v>154</v>
      </c>
      <c r="H157" s="8" t="s">
        <v>36</v>
      </c>
      <c r="I157" s="8"/>
    </row>
    <row r="158" spans="1:9" x14ac:dyDescent="0.3">
      <c r="A158" s="14">
        <v>45848</v>
      </c>
      <c r="B158" s="14" t="s">
        <v>91</v>
      </c>
      <c r="C158" s="10">
        <v>0.45833333333333331</v>
      </c>
      <c r="D158" s="10">
        <f t="shared" si="8"/>
        <v>0.5</v>
      </c>
      <c r="E158" s="11">
        <f t="shared" si="9"/>
        <v>60.000000000000028</v>
      </c>
      <c r="F158" s="8" t="s">
        <v>13</v>
      </c>
      <c r="G158" s="8" t="s">
        <v>155</v>
      </c>
      <c r="H158" s="8" t="s">
        <v>125</v>
      </c>
      <c r="I158" s="8"/>
    </row>
    <row r="159" spans="1:9" x14ac:dyDescent="0.3">
      <c r="A159" s="14">
        <v>45848</v>
      </c>
      <c r="B159" s="14" t="s">
        <v>91</v>
      </c>
      <c r="C159" s="10">
        <v>0.5</v>
      </c>
      <c r="D159" s="10">
        <f t="shared" si="8"/>
        <v>0.54166666666666663</v>
      </c>
      <c r="E159" s="11">
        <f>(D159-C159)*1440</f>
        <v>59.999999999999943</v>
      </c>
      <c r="F159" s="8" t="s">
        <v>13</v>
      </c>
      <c r="G159" s="8" t="s">
        <v>48</v>
      </c>
      <c r="H159" s="8"/>
      <c r="I159" s="8"/>
    </row>
    <row r="160" spans="1:9" x14ac:dyDescent="0.3">
      <c r="A160" s="14">
        <v>45848</v>
      </c>
      <c r="B160" s="14" t="s">
        <v>91</v>
      </c>
      <c r="C160" s="10">
        <v>0.54166666666666663</v>
      </c>
      <c r="D160" s="10">
        <f t="shared" si="8"/>
        <v>0.58333333333333337</v>
      </c>
      <c r="E160" s="11">
        <f t="shared" si="9"/>
        <v>60.000000000000107</v>
      </c>
      <c r="F160" s="8" t="s">
        <v>13</v>
      </c>
      <c r="G160" s="8" t="s">
        <v>156</v>
      </c>
      <c r="H160" s="8" t="s">
        <v>78</v>
      </c>
      <c r="I160" s="8"/>
    </row>
    <row r="161" spans="1:9" x14ac:dyDescent="0.3">
      <c r="A161" s="14">
        <v>45848</v>
      </c>
      <c r="B161" s="14" t="s">
        <v>91</v>
      </c>
      <c r="C161" s="10">
        <v>0.58333333333333337</v>
      </c>
      <c r="D161" s="10">
        <f t="shared" si="8"/>
        <v>0.60416666666666663</v>
      </c>
      <c r="E161" s="11">
        <f t="shared" si="9"/>
        <v>29.999999999999893</v>
      </c>
      <c r="F161" s="8" t="s">
        <v>13</v>
      </c>
      <c r="G161" s="8" t="s">
        <v>157</v>
      </c>
      <c r="H161" s="8" t="s">
        <v>78</v>
      </c>
      <c r="I161" s="8"/>
    </row>
    <row r="162" spans="1:9" x14ac:dyDescent="0.3">
      <c r="A162" s="14">
        <v>45848</v>
      </c>
      <c r="B162" s="14" t="s">
        <v>91</v>
      </c>
      <c r="C162" s="10">
        <v>0.60416666666666663</v>
      </c>
      <c r="D162" s="10">
        <f t="shared" si="8"/>
        <v>0.66666666666666663</v>
      </c>
      <c r="E162" s="11">
        <f t="shared" si="9"/>
        <v>90</v>
      </c>
      <c r="F162" s="8" t="s">
        <v>13</v>
      </c>
      <c r="G162" s="8" t="s">
        <v>158</v>
      </c>
      <c r="H162" s="8" t="s">
        <v>36</v>
      </c>
      <c r="I162" s="8"/>
    </row>
    <row r="163" spans="1:9" x14ac:dyDescent="0.3">
      <c r="A163" s="14">
        <v>45848</v>
      </c>
      <c r="B163" s="14" t="s">
        <v>91</v>
      </c>
      <c r="C163" s="10">
        <v>0.66666666666666663</v>
      </c>
      <c r="D163" s="10">
        <v>0.6875</v>
      </c>
      <c r="E163" s="11">
        <f t="shared" si="9"/>
        <v>30.000000000000053</v>
      </c>
      <c r="F163" s="8" t="s">
        <v>13</v>
      </c>
      <c r="G163" s="8" t="s">
        <v>159</v>
      </c>
      <c r="H163" s="8" t="s">
        <v>122</v>
      </c>
      <c r="I163" s="8" t="s">
        <v>129</v>
      </c>
    </row>
    <row r="164" spans="1:9" x14ac:dyDescent="0.3">
      <c r="A164" s="13"/>
      <c r="B164" s="17"/>
      <c r="C164" s="13"/>
      <c r="D164" s="13"/>
      <c r="E164" s="13"/>
      <c r="F164" s="17"/>
      <c r="G164" s="13"/>
      <c r="H164" s="13"/>
      <c r="I164" s="13"/>
    </row>
    <row r="165" spans="1:9" x14ac:dyDescent="0.3">
      <c r="A165" s="4" t="s">
        <v>1</v>
      </c>
      <c r="B165" s="4" t="s">
        <v>2</v>
      </c>
      <c r="C165" s="5" t="s">
        <v>3</v>
      </c>
      <c r="D165" s="6"/>
      <c r="E165" s="4" t="s">
        <v>4</v>
      </c>
      <c r="F165" s="4" t="s">
        <v>5</v>
      </c>
      <c r="G165" s="4" t="s">
        <v>6</v>
      </c>
      <c r="H165" s="4" t="s">
        <v>7</v>
      </c>
      <c r="I165" s="4" t="s">
        <v>8</v>
      </c>
    </row>
    <row r="166" spans="1:9" x14ac:dyDescent="0.3">
      <c r="A166" s="7"/>
      <c r="B166" s="7"/>
      <c r="C166" s="8" t="s">
        <v>9</v>
      </c>
      <c r="D166" s="8" t="s">
        <v>10</v>
      </c>
      <c r="E166" s="7"/>
      <c r="F166" s="7"/>
      <c r="G166" s="7"/>
      <c r="H166" s="7"/>
      <c r="I166" s="7"/>
    </row>
    <row r="167" spans="1:9" x14ac:dyDescent="0.3">
      <c r="A167" s="14">
        <v>45849</v>
      </c>
      <c r="B167" s="14" t="s">
        <v>93</v>
      </c>
      <c r="C167" s="10">
        <v>0.27083333333333331</v>
      </c>
      <c r="D167" s="10">
        <f>C168</f>
        <v>0.30555555555555558</v>
      </c>
      <c r="E167" s="11">
        <f>(D167-C167)*1440</f>
        <v>50.000000000000064</v>
      </c>
      <c r="F167" s="8" t="s">
        <v>13</v>
      </c>
      <c r="G167" s="8" t="s">
        <v>160</v>
      </c>
      <c r="H167" s="8" t="s">
        <v>83</v>
      </c>
      <c r="I167" s="8"/>
    </row>
    <row r="168" spans="1:9" x14ac:dyDescent="0.3">
      <c r="A168" s="14">
        <v>45849</v>
      </c>
      <c r="B168" s="14" t="s">
        <v>93</v>
      </c>
      <c r="C168" s="10">
        <v>0.30555555555555558</v>
      </c>
      <c r="D168" s="10">
        <f t="shared" ref="D168:D178" si="10">C169</f>
        <v>0.33333333333333331</v>
      </c>
      <c r="E168" s="11">
        <f>(D168-C168)*1440</f>
        <v>39.999999999999936</v>
      </c>
      <c r="F168" s="8" t="s">
        <v>13</v>
      </c>
      <c r="G168" s="8" t="s">
        <v>161</v>
      </c>
      <c r="H168" s="8" t="s">
        <v>62</v>
      </c>
      <c r="I168" s="8"/>
    </row>
    <row r="169" spans="1:9" x14ac:dyDescent="0.3">
      <c r="A169" s="14">
        <v>45849</v>
      </c>
      <c r="B169" s="14" t="s">
        <v>93</v>
      </c>
      <c r="C169" s="10">
        <v>0.33333333333333331</v>
      </c>
      <c r="D169" s="10">
        <f t="shared" si="10"/>
        <v>0.375</v>
      </c>
      <c r="E169" s="11">
        <f>(D169-C169)*1440</f>
        <v>60.000000000000028</v>
      </c>
      <c r="F169" s="8" t="s">
        <v>13</v>
      </c>
      <c r="G169" s="8" t="s">
        <v>162</v>
      </c>
      <c r="H169" s="8" t="s">
        <v>83</v>
      </c>
      <c r="I169" s="8"/>
    </row>
    <row r="170" spans="1:9" x14ac:dyDescent="0.3">
      <c r="A170" s="14">
        <v>45849</v>
      </c>
      <c r="B170" s="14" t="s">
        <v>93</v>
      </c>
      <c r="C170" s="10">
        <v>0.375</v>
      </c>
      <c r="D170" s="10">
        <f t="shared" si="10"/>
        <v>0.39583333333333331</v>
      </c>
      <c r="E170" s="11">
        <f t="shared" ref="E170:E179" si="11">(D170-C170)*1440</f>
        <v>29.999999999999972</v>
      </c>
      <c r="F170" s="8" t="s">
        <v>13</v>
      </c>
      <c r="G170" s="8" t="s">
        <v>163</v>
      </c>
      <c r="H170" s="8" t="s">
        <v>83</v>
      </c>
      <c r="I170" s="8"/>
    </row>
    <row r="171" spans="1:9" x14ac:dyDescent="0.3">
      <c r="A171" s="14">
        <v>45849</v>
      </c>
      <c r="B171" s="14" t="s">
        <v>93</v>
      </c>
      <c r="C171" s="10">
        <v>0.39583333333333331</v>
      </c>
      <c r="D171" s="10">
        <f t="shared" si="10"/>
        <v>0.41666666666666669</v>
      </c>
      <c r="E171" s="11">
        <f t="shared" si="11"/>
        <v>30.000000000000053</v>
      </c>
      <c r="F171" s="8" t="s">
        <v>13</v>
      </c>
      <c r="G171" s="8" t="s">
        <v>164</v>
      </c>
      <c r="H171" s="8" t="s">
        <v>107</v>
      </c>
      <c r="I171" s="8"/>
    </row>
    <row r="172" spans="1:9" x14ac:dyDescent="0.3">
      <c r="A172" s="14">
        <v>45849</v>
      </c>
      <c r="B172" s="14" t="s">
        <v>93</v>
      </c>
      <c r="C172" s="10">
        <v>0.41666666666666669</v>
      </c>
      <c r="D172" s="10">
        <f t="shared" si="10"/>
        <v>0.47916666666666669</v>
      </c>
      <c r="E172" s="11">
        <f t="shared" si="11"/>
        <v>90</v>
      </c>
      <c r="F172" s="8" t="s">
        <v>13</v>
      </c>
      <c r="G172" s="8" t="s">
        <v>165</v>
      </c>
      <c r="H172" s="8" t="s">
        <v>69</v>
      </c>
      <c r="I172" s="8"/>
    </row>
    <row r="173" spans="1:9" x14ac:dyDescent="0.3">
      <c r="A173" s="14">
        <v>45849</v>
      </c>
      <c r="B173" s="14" t="s">
        <v>93</v>
      </c>
      <c r="C173" s="10">
        <v>0.47916666666666669</v>
      </c>
      <c r="D173" s="10">
        <f t="shared" si="10"/>
        <v>0.54166666666666663</v>
      </c>
      <c r="E173" s="11">
        <f t="shared" si="11"/>
        <v>89.999999999999915</v>
      </c>
      <c r="F173" s="8" t="s">
        <v>13</v>
      </c>
      <c r="G173" s="8" t="s">
        <v>48</v>
      </c>
      <c r="H173" s="8" t="s">
        <v>36</v>
      </c>
      <c r="I173" s="8"/>
    </row>
    <row r="174" spans="1:9" x14ac:dyDescent="0.3">
      <c r="A174" s="14">
        <v>45849</v>
      </c>
      <c r="B174" s="14" t="s">
        <v>93</v>
      </c>
      <c r="C174" s="10">
        <v>0.54166666666666663</v>
      </c>
      <c r="D174" s="10">
        <f t="shared" si="10"/>
        <v>0.55555555555555558</v>
      </c>
      <c r="E174" s="11">
        <f t="shared" si="11"/>
        <v>20.000000000000089</v>
      </c>
      <c r="F174" s="8" t="s">
        <v>13</v>
      </c>
      <c r="G174" s="8" t="s">
        <v>166</v>
      </c>
      <c r="H174" s="8" t="s">
        <v>69</v>
      </c>
      <c r="I174" s="8"/>
    </row>
    <row r="175" spans="1:9" x14ac:dyDescent="0.3">
      <c r="A175" s="14">
        <v>45849</v>
      </c>
      <c r="B175" s="14" t="s">
        <v>93</v>
      </c>
      <c r="C175" s="10">
        <v>0.55555555555555558</v>
      </c>
      <c r="D175" s="10">
        <f t="shared" si="10"/>
        <v>0.58333333333333337</v>
      </c>
      <c r="E175" s="11">
        <f t="shared" si="11"/>
        <v>40.000000000000014</v>
      </c>
      <c r="F175" s="8" t="s">
        <v>13</v>
      </c>
      <c r="G175" s="8" t="s">
        <v>167</v>
      </c>
      <c r="H175" s="8" t="s">
        <v>83</v>
      </c>
      <c r="I175" s="8"/>
    </row>
    <row r="176" spans="1:9" x14ac:dyDescent="0.3">
      <c r="A176" s="14">
        <v>45849</v>
      </c>
      <c r="B176" s="14" t="s">
        <v>93</v>
      </c>
      <c r="C176" s="10">
        <v>0.58333333333333337</v>
      </c>
      <c r="D176" s="10">
        <f t="shared" si="10"/>
        <v>0.63541666666666663</v>
      </c>
      <c r="E176" s="11">
        <f t="shared" si="11"/>
        <v>74.999999999999886</v>
      </c>
      <c r="F176" s="8" t="s">
        <v>13</v>
      </c>
      <c r="G176" s="8" t="s">
        <v>168</v>
      </c>
      <c r="H176" s="8" t="s">
        <v>69</v>
      </c>
      <c r="I176" s="8"/>
    </row>
    <row r="177" spans="1:9" x14ac:dyDescent="0.3">
      <c r="A177" s="14">
        <v>45849</v>
      </c>
      <c r="B177" s="14" t="s">
        <v>93</v>
      </c>
      <c r="C177" s="10">
        <v>0.63541666666666663</v>
      </c>
      <c r="D177" s="10">
        <f t="shared" si="10"/>
        <v>0.64583333333333337</v>
      </c>
      <c r="E177" s="11">
        <f t="shared" si="11"/>
        <v>15.000000000000107</v>
      </c>
      <c r="F177" s="8" t="s">
        <v>13</v>
      </c>
      <c r="G177" s="8" t="s">
        <v>35</v>
      </c>
      <c r="H177" s="8" t="s">
        <v>36</v>
      </c>
      <c r="I177" s="8"/>
    </row>
    <row r="178" spans="1:9" x14ac:dyDescent="0.3">
      <c r="A178" s="14">
        <v>45849</v>
      </c>
      <c r="B178" s="14" t="s">
        <v>93</v>
      </c>
      <c r="C178" s="10">
        <v>0.64583333333333337</v>
      </c>
      <c r="D178" s="10">
        <f t="shared" si="10"/>
        <v>0.67361111111111116</v>
      </c>
      <c r="E178" s="11">
        <f t="shared" si="11"/>
        <v>40.000000000000014</v>
      </c>
      <c r="F178" s="8" t="s">
        <v>13</v>
      </c>
      <c r="G178" s="8" t="s">
        <v>169</v>
      </c>
      <c r="H178" s="8" t="s">
        <v>69</v>
      </c>
      <c r="I178" s="8"/>
    </row>
    <row r="179" spans="1:9" x14ac:dyDescent="0.3">
      <c r="A179" s="14">
        <v>45849</v>
      </c>
      <c r="B179" s="14" t="s">
        <v>93</v>
      </c>
      <c r="C179" s="10">
        <v>0.67361111111111116</v>
      </c>
      <c r="D179" s="10">
        <v>0.70833333333333337</v>
      </c>
      <c r="E179" s="11">
        <f t="shared" si="11"/>
        <v>49.999999999999986</v>
      </c>
      <c r="F179" s="8" t="s">
        <v>13</v>
      </c>
      <c r="G179" s="8" t="s">
        <v>170</v>
      </c>
      <c r="H179" s="8" t="s">
        <v>69</v>
      </c>
      <c r="I179" s="8"/>
    </row>
    <row r="180" spans="1:9" ht="36.6" x14ac:dyDescent="0.7">
      <c r="A180" s="18" t="s">
        <v>171</v>
      </c>
      <c r="B180" s="2"/>
      <c r="C180" s="2"/>
      <c r="D180" s="2"/>
      <c r="E180" s="2"/>
      <c r="F180" s="2"/>
      <c r="G180" s="2"/>
      <c r="H180" s="2"/>
      <c r="I180" s="3"/>
    </row>
    <row r="181" spans="1:9" x14ac:dyDescent="0.3">
      <c r="A181" s="13"/>
      <c r="B181" s="17"/>
      <c r="C181" s="13"/>
      <c r="D181" s="13"/>
      <c r="E181" s="13"/>
      <c r="F181" s="17"/>
      <c r="G181" s="13"/>
      <c r="H181" s="13"/>
      <c r="I181" s="13"/>
    </row>
    <row r="182" spans="1:9" ht="15" customHeight="1" x14ac:dyDescent="0.3">
      <c r="A182" s="4" t="s">
        <v>1</v>
      </c>
      <c r="B182" s="4" t="s">
        <v>2</v>
      </c>
      <c r="C182" s="5" t="s">
        <v>3</v>
      </c>
      <c r="D182" s="6"/>
      <c r="E182" s="4" t="s">
        <v>4</v>
      </c>
      <c r="F182" s="4" t="s">
        <v>5</v>
      </c>
      <c r="G182" s="4" t="s">
        <v>6</v>
      </c>
      <c r="H182" s="4" t="s">
        <v>7</v>
      </c>
      <c r="I182" s="4" t="s">
        <v>8</v>
      </c>
    </row>
    <row r="183" spans="1:9" x14ac:dyDescent="0.3">
      <c r="A183" s="7"/>
      <c r="B183" s="7"/>
      <c r="C183" s="8" t="s">
        <v>9</v>
      </c>
      <c r="D183" s="8" t="s">
        <v>10</v>
      </c>
      <c r="E183" s="7"/>
      <c r="F183" s="7"/>
      <c r="G183" s="7"/>
      <c r="H183" s="7"/>
      <c r="I183" s="7"/>
    </row>
    <row r="184" spans="1:9" x14ac:dyDescent="0.3">
      <c r="A184" s="14">
        <v>45852</v>
      </c>
      <c r="B184" s="14" t="s">
        <v>12</v>
      </c>
      <c r="C184" s="10">
        <v>0.30555555555555558</v>
      </c>
      <c r="D184" s="10">
        <f t="shared" ref="D184:D194" si="12">C185</f>
        <v>0.33333333333333331</v>
      </c>
      <c r="E184" s="11">
        <f t="shared" ref="E184:E195" si="13">(D184-C184)*1440</f>
        <v>39.999999999999936</v>
      </c>
      <c r="F184" s="8" t="s">
        <v>13</v>
      </c>
      <c r="G184" s="8" t="s">
        <v>14</v>
      </c>
      <c r="H184" s="8" t="s">
        <v>15</v>
      </c>
      <c r="I184" s="8"/>
    </row>
    <row r="185" spans="1:9" x14ac:dyDescent="0.3">
      <c r="A185" s="14">
        <v>45852</v>
      </c>
      <c r="B185" s="14" t="s">
        <v>12</v>
      </c>
      <c r="C185" s="10">
        <v>0.33333333333333331</v>
      </c>
      <c r="D185" s="10">
        <f t="shared" si="12"/>
        <v>0.35416666666666669</v>
      </c>
      <c r="E185" s="11">
        <f t="shared" si="13"/>
        <v>30.000000000000053</v>
      </c>
      <c r="F185" s="8" t="s">
        <v>13</v>
      </c>
      <c r="G185" s="8" t="s">
        <v>118</v>
      </c>
      <c r="H185" s="8" t="s">
        <v>62</v>
      </c>
      <c r="I185" s="8"/>
    </row>
    <row r="186" spans="1:9" x14ac:dyDescent="0.3">
      <c r="A186" s="14">
        <v>45852</v>
      </c>
      <c r="B186" s="14" t="s">
        <v>12</v>
      </c>
      <c r="C186" s="10">
        <v>0.35416666666666669</v>
      </c>
      <c r="D186" s="10">
        <f t="shared" si="12"/>
        <v>0.375</v>
      </c>
      <c r="E186" s="11">
        <f t="shared" si="13"/>
        <v>29.999999999999972</v>
      </c>
      <c r="F186" s="8" t="s">
        <v>13</v>
      </c>
      <c r="G186" s="8" t="s">
        <v>172</v>
      </c>
      <c r="H186" s="8" t="s">
        <v>62</v>
      </c>
      <c r="I186" s="8"/>
    </row>
    <row r="187" spans="1:9" x14ac:dyDescent="0.3">
      <c r="A187" s="14">
        <v>45852</v>
      </c>
      <c r="B187" s="14" t="s">
        <v>12</v>
      </c>
      <c r="C187" s="10">
        <v>0.375</v>
      </c>
      <c r="D187" s="10">
        <f t="shared" si="12"/>
        <v>0.39583333333333331</v>
      </c>
      <c r="E187" s="11">
        <f t="shared" si="13"/>
        <v>29.999999999999972</v>
      </c>
      <c r="F187" s="8" t="s">
        <v>13</v>
      </c>
      <c r="G187" s="8" t="s">
        <v>173</v>
      </c>
      <c r="H187" s="8" t="s">
        <v>78</v>
      </c>
      <c r="I187" s="8"/>
    </row>
    <row r="188" spans="1:9" x14ac:dyDescent="0.3">
      <c r="A188" s="14">
        <v>45852</v>
      </c>
      <c r="B188" s="14" t="s">
        <v>12</v>
      </c>
      <c r="C188" s="10">
        <v>0.39583333333333331</v>
      </c>
      <c r="D188" s="10">
        <f t="shared" si="12"/>
        <v>0.41666666666666669</v>
      </c>
      <c r="E188" s="11">
        <f t="shared" si="13"/>
        <v>30.000000000000053</v>
      </c>
      <c r="F188" s="8" t="s">
        <v>13</v>
      </c>
      <c r="G188" s="8" t="s">
        <v>174</v>
      </c>
      <c r="H188" s="8" t="s">
        <v>18</v>
      </c>
      <c r="I188" s="8"/>
    </row>
    <row r="189" spans="1:9" ht="16.5" customHeight="1" x14ac:dyDescent="0.3">
      <c r="A189" s="14">
        <v>45852</v>
      </c>
      <c r="B189" s="14" t="s">
        <v>12</v>
      </c>
      <c r="C189" s="10">
        <v>0.41666666666666669</v>
      </c>
      <c r="D189" s="10">
        <f t="shared" si="12"/>
        <v>0.4375</v>
      </c>
      <c r="E189" s="11">
        <f t="shared" si="13"/>
        <v>29.999999999999972</v>
      </c>
      <c r="F189" s="8" t="s">
        <v>13</v>
      </c>
      <c r="G189" s="8" t="s">
        <v>175</v>
      </c>
      <c r="H189" s="8" t="s">
        <v>122</v>
      </c>
      <c r="I189" s="8"/>
    </row>
    <row r="190" spans="1:9" x14ac:dyDescent="0.3">
      <c r="A190" s="14">
        <v>45852</v>
      </c>
      <c r="B190" s="14" t="s">
        <v>12</v>
      </c>
      <c r="C190" s="10">
        <v>0.4375</v>
      </c>
      <c r="D190" s="10">
        <f t="shared" si="12"/>
        <v>0.47916666666666669</v>
      </c>
      <c r="E190" s="11">
        <f t="shared" si="13"/>
        <v>60.000000000000028</v>
      </c>
      <c r="F190" s="8" t="s">
        <v>13</v>
      </c>
      <c r="G190" s="8" t="s">
        <v>176</v>
      </c>
      <c r="H190" s="8" t="s">
        <v>36</v>
      </c>
      <c r="I190" s="8"/>
    </row>
    <row r="191" spans="1:9" x14ac:dyDescent="0.3">
      <c r="A191" s="14">
        <v>45852</v>
      </c>
      <c r="B191" s="14" t="s">
        <v>12</v>
      </c>
      <c r="C191" s="10">
        <v>0.47916666666666669</v>
      </c>
      <c r="D191" s="10">
        <f t="shared" si="12"/>
        <v>0.5</v>
      </c>
      <c r="E191" s="11">
        <f t="shared" si="13"/>
        <v>29.999999999999972</v>
      </c>
      <c r="F191" s="8" t="s">
        <v>13</v>
      </c>
      <c r="G191" s="8" t="s">
        <v>177</v>
      </c>
      <c r="H191" s="8" t="s">
        <v>78</v>
      </c>
      <c r="I191" s="8"/>
    </row>
    <row r="192" spans="1:9" x14ac:dyDescent="0.3">
      <c r="A192" s="14">
        <v>45852</v>
      </c>
      <c r="B192" s="14" t="s">
        <v>12</v>
      </c>
      <c r="C192" s="10">
        <v>0.5</v>
      </c>
      <c r="D192" s="10">
        <f t="shared" si="12"/>
        <v>0.54166666666666663</v>
      </c>
      <c r="E192" s="11">
        <f t="shared" si="13"/>
        <v>59.999999999999943</v>
      </c>
      <c r="F192" s="8" t="s">
        <v>13</v>
      </c>
      <c r="G192" s="8" t="s">
        <v>48</v>
      </c>
      <c r="H192" s="8" t="s">
        <v>78</v>
      </c>
      <c r="I192" s="8"/>
    </row>
    <row r="193" spans="1:9" x14ac:dyDescent="0.3">
      <c r="A193" s="14">
        <v>45852</v>
      </c>
      <c r="B193" s="14" t="s">
        <v>12</v>
      </c>
      <c r="C193" s="10">
        <v>0.54166666666666663</v>
      </c>
      <c r="D193" s="10">
        <f t="shared" si="12"/>
        <v>0.60416666666666663</v>
      </c>
      <c r="E193" s="11">
        <f t="shared" si="13"/>
        <v>90</v>
      </c>
      <c r="F193" s="8" t="s">
        <v>13</v>
      </c>
      <c r="G193" s="8" t="s">
        <v>178</v>
      </c>
      <c r="H193" s="8" t="s">
        <v>36</v>
      </c>
      <c r="I193" s="8"/>
    </row>
    <row r="194" spans="1:9" x14ac:dyDescent="0.3">
      <c r="A194" s="14">
        <v>45852</v>
      </c>
      <c r="B194" s="14" t="s">
        <v>12</v>
      </c>
      <c r="C194" s="10">
        <v>0.60416666666666663</v>
      </c>
      <c r="D194" s="10">
        <f t="shared" si="12"/>
        <v>0.625</v>
      </c>
      <c r="E194" s="11">
        <f t="shared" si="13"/>
        <v>30.000000000000053</v>
      </c>
      <c r="F194" s="8" t="s">
        <v>13</v>
      </c>
      <c r="G194" s="8" t="s">
        <v>179</v>
      </c>
      <c r="H194" s="8" t="s">
        <v>122</v>
      </c>
      <c r="I194" s="8"/>
    </row>
    <row r="195" spans="1:9" x14ac:dyDescent="0.3">
      <c r="A195" s="14">
        <v>45852</v>
      </c>
      <c r="B195" s="14" t="s">
        <v>12</v>
      </c>
      <c r="C195" s="10">
        <v>0.625</v>
      </c>
      <c r="D195" s="10">
        <v>0.70833333333333337</v>
      </c>
      <c r="E195" s="11">
        <f t="shared" si="13"/>
        <v>120.00000000000006</v>
      </c>
      <c r="F195" s="8" t="s">
        <v>13</v>
      </c>
      <c r="G195" s="8" t="s">
        <v>180</v>
      </c>
      <c r="H195" s="8" t="s">
        <v>69</v>
      </c>
      <c r="I195" s="8"/>
    </row>
    <row r="196" spans="1:9" x14ac:dyDescent="0.3">
      <c r="A196" s="13"/>
      <c r="B196" s="17"/>
      <c r="C196" s="13"/>
      <c r="D196" s="13"/>
      <c r="E196" s="13"/>
      <c r="F196" s="17"/>
      <c r="G196" s="13"/>
      <c r="H196" s="13"/>
      <c r="I196" s="13"/>
    </row>
    <row r="197" spans="1:9" ht="15" customHeight="1" x14ac:dyDescent="0.3">
      <c r="A197" s="4" t="s">
        <v>1</v>
      </c>
      <c r="B197" s="4" t="s">
        <v>2</v>
      </c>
      <c r="C197" s="5" t="s">
        <v>3</v>
      </c>
      <c r="D197" s="6"/>
      <c r="E197" s="4" t="s">
        <v>4</v>
      </c>
      <c r="F197" s="4" t="s">
        <v>5</v>
      </c>
      <c r="G197" s="4" t="s">
        <v>6</v>
      </c>
      <c r="H197" s="4" t="s">
        <v>7</v>
      </c>
      <c r="I197" s="4" t="s">
        <v>8</v>
      </c>
    </row>
    <row r="198" spans="1:9" x14ac:dyDescent="0.3">
      <c r="A198" s="7"/>
      <c r="B198" s="7"/>
      <c r="C198" s="8" t="s">
        <v>9</v>
      </c>
      <c r="D198" s="8" t="s">
        <v>10</v>
      </c>
      <c r="E198" s="7"/>
      <c r="F198" s="7"/>
      <c r="G198" s="7"/>
      <c r="H198" s="7"/>
      <c r="I198" s="7"/>
    </row>
    <row r="199" spans="1:9" x14ac:dyDescent="0.3">
      <c r="A199" s="14">
        <v>45853</v>
      </c>
      <c r="B199" s="14" t="s">
        <v>59</v>
      </c>
      <c r="C199" s="10">
        <v>0.30555555555555558</v>
      </c>
      <c r="D199" s="10">
        <f t="shared" ref="D199:D209" si="14">C200</f>
        <v>0.33333333333333331</v>
      </c>
      <c r="E199" s="11">
        <f t="shared" ref="E199:E210" si="15">(D199-C199)*1440</f>
        <v>39.999999999999936</v>
      </c>
      <c r="F199" s="8" t="s">
        <v>13</v>
      </c>
      <c r="G199" s="8" t="s">
        <v>14</v>
      </c>
      <c r="H199" s="8" t="s">
        <v>15</v>
      </c>
      <c r="I199" s="8"/>
    </row>
    <row r="200" spans="1:9" x14ac:dyDescent="0.3">
      <c r="A200" s="14">
        <v>45853</v>
      </c>
      <c r="B200" s="14" t="s">
        <v>59</v>
      </c>
      <c r="C200" s="10">
        <v>0.33333333333333331</v>
      </c>
      <c r="D200" s="10">
        <f t="shared" si="14"/>
        <v>0.35416666666666669</v>
      </c>
      <c r="E200" s="11">
        <f t="shared" si="15"/>
        <v>30.000000000000053</v>
      </c>
      <c r="F200" s="8" t="s">
        <v>13</v>
      </c>
      <c r="G200" s="8" t="s">
        <v>118</v>
      </c>
      <c r="H200" s="8" t="s">
        <v>62</v>
      </c>
      <c r="I200" s="8"/>
    </row>
    <row r="201" spans="1:9" x14ac:dyDescent="0.3">
      <c r="A201" s="14">
        <v>45853</v>
      </c>
      <c r="B201" s="14" t="s">
        <v>59</v>
      </c>
      <c r="C201" s="10">
        <v>0.35416666666666669</v>
      </c>
      <c r="D201" s="10">
        <f t="shared" si="14"/>
        <v>0.375</v>
      </c>
      <c r="E201" s="11">
        <f t="shared" si="15"/>
        <v>29.999999999999972</v>
      </c>
      <c r="F201" s="8" t="s">
        <v>13</v>
      </c>
      <c r="G201" s="8" t="s">
        <v>24</v>
      </c>
      <c r="H201" s="8" t="s">
        <v>62</v>
      </c>
      <c r="I201" s="8"/>
    </row>
    <row r="202" spans="1:9" x14ac:dyDescent="0.3">
      <c r="A202" s="14">
        <v>45853</v>
      </c>
      <c r="B202" s="14" t="s">
        <v>59</v>
      </c>
      <c r="C202" s="10">
        <v>0.375</v>
      </c>
      <c r="D202" s="10">
        <f t="shared" si="14"/>
        <v>0.39583333333333331</v>
      </c>
      <c r="E202" s="11">
        <f t="shared" si="15"/>
        <v>29.999999999999972</v>
      </c>
      <c r="F202" s="8" t="s">
        <v>13</v>
      </c>
      <c r="G202" s="8" t="s">
        <v>181</v>
      </c>
      <c r="H202" s="8" t="s">
        <v>78</v>
      </c>
      <c r="I202" s="8"/>
    </row>
    <row r="203" spans="1:9" x14ac:dyDescent="0.3">
      <c r="A203" s="14">
        <v>45853</v>
      </c>
      <c r="B203" s="14" t="s">
        <v>59</v>
      </c>
      <c r="C203" s="10">
        <v>0.39583333333333331</v>
      </c>
      <c r="D203" s="10">
        <f t="shared" si="14"/>
        <v>0.41666666666666669</v>
      </c>
      <c r="E203" s="11">
        <f t="shared" si="15"/>
        <v>30.000000000000053</v>
      </c>
      <c r="F203" s="8" t="s">
        <v>13</v>
      </c>
      <c r="G203" s="8" t="s">
        <v>135</v>
      </c>
      <c r="H203" s="8" t="s">
        <v>18</v>
      </c>
      <c r="I203" s="8"/>
    </row>
    <row r="204" spans="1:9" x14ac:dyDescent="0.3">
      <c r="A204" s="14">
        <v>45853</v>
      </c>
      <c r="B204" s="14" t="s">
        <v>59</v>
      </c>
      <c r="C204" s="10">
        <v>0.41666666666666669</v>
      </c>
      <c r="D204" s="10">
        <f t="shared" si="14"/>
        <v>0.45833333333333331</v>
      </c>
      <c r="E204" s="11">
        <f t="shared" si="15"/>
        <v>59.999999999999943</v>
      </c>
      <c r="F204" s="8" t="s">
        <v>13</v>
      </c>
      <c r="G204" s="8" t="s">
        <v>182</v>
      </c>
      <c r="H204" s="8" t="s">
        <v>122</v>
      </c>
      <c r="I204" s="8"/>
    </row>
    <row r="205" spans="1:9" x14ac:dyDescent="0.3">
      <c r="A205" s="14">
        <v>45853</v>
      </c>
      <c r="B205" s="14" t="s">
        <v>59</v>
      </c>
      <c r="C205" s="10">
        <v>0.45833333333333331</v>
      </c>
      <c r="D205" s="10">
        <f t="shared" si="14"/>
        <v>0.46875</v>
      </c>
      <c r="E205" s="11">
        <f t="shared" si="15"/>
        <v>15.000000000000027</v>
      </c>
      <c r="F205" s="8" t="s">
        <v>13</v>
      </c>
      <c r="G205" s="8" t="s">
        <v>183</v>
      </c>
      <c r="H205" s="8" t="s">
        <v>125</v>
      </c>
      <c r="I205" s="8"/>
    </row>
    <row r="206" spans="1:9" x14ac:dyDescent="0.3">
      <c r="A206" s="14">
        <v>45853</v>
      </c>
      <c r="B206" s="14" t="s">
        <v>59</v>
      </c>
      <c r="C206" s="10">
        <v>0.46875</v>
      </c>
      <c r="D206" s="10">
        <f t="shared" si="14"/>
        <v>0.5</v>
      </c>
      <c r="E206" s="11">
        <f t="shared" si="15"/>
        <v>45</v>
      </c>
      <c r="F206" s="8" t="s">
        <v>13</v>
      </c>
      <c r="G206" s="8" t="s">
        <v>184</v>
      </c>
      <c r="H206" s="8" t="s">
        <v>78</v>
      </c>
      <c r="I206" s="8"/>
    </row>
    <row r="207" spans="1:9" x14ac:dyDescent="0.3">
      <c r="A207" s="14">
        <v>45853</v>
      </c>
      <c r="B207" s="14" t="s">
        <v>59</v>
      </c>
      <c r="C207" s="10">
        <v>0.5</v>
      </c>
      <c r="D207" s="10">
        <f t="shared" si="14"/>
        <v>0.54166666666666663</v>
      </c>
      <c r="E207" s="11">
        <f t="shared" si="15"/>
        <v>59.999999999999943</v>
      </c>
      <c r="F207" s="8" t="s">
        <v>13</v>
      </c>
      <c r="G207" s="8" t="s">
        <v>36</v>
      </c>
      <c r="H207" s="8" t="s">
        <v>78</v>
      </c>
      <c r="I207" s="8"/>
    </row>
    <row r="208" spans="1:9" x14ac:dyDescent="0.3">
      <c r="A208" s="14">
        <v>45853</v>
      </c>
      <c r="B208" s="14" t="s">
        <v>59</v>
      </c>
      <c r="C208" s="10">
        <v>0.54166666666666663</v>
      </c>
      <c r="D208" s="10">
        <f t="shared" si="14"/>
        <v>0.60416666666666663</v>
      </c>
      <c r="E208" s="11">
        <f t="shared" si="15"/>
        <v>90</v>
      </c>
      <c r="F208" s="8" t="s">
        <v>13</v>
      </c>
      <c r="G208" s="8" t="s">
        <v>185</v>
      </c>
      <c r="H208" s="8" t="s">
        <v>36</v>
      </c>
      <c r="I208" s="8"/>
    </row>
    <row r="209" spans="1:9" x14ac:dyDescent="0.3">
      <c r="A209" s="14">
        <v>45853</v>
      </c>
      <c r="B209" s="14" t="s">
        <v>59</v>
      </c>
      <c r="C209" s="10">
        <v>0.60416666666666663</v>
      </c>
      <c r="D209" s="10">
        <f t="shared" si="14"/>
        <v>0.64583333333333337</v>
      </c>
      <c r="E209" s="11">
        <f t="shared" si="15"/>
        <v>60.000000000000107</v>
      </c>
      <c r="F209" s="8" t="s">
        <v>13</v>
      </c>
      <c r="G209" s="8" t="s">
        <v>186</v>
      </c>
      <c r="H209" s="8" t="s">
        <v>122</v>
      </c>
      <c r="I209" s="8"/>
    </row>
    <row r="210" spans="1:9" x14ac:dyDescent="0.3">
      <c r="A210" s="14">
        <v>45853</v>
      </c>
      <c r="B210" s="14" t="s">
        <v>59</v>
      </c>
      <c r="C210" s="10">
        <v>0.64583333333333337</v>
      </c>
      <c r="D210" s="10">
        <v>0.6875</v>
      </c>
      <c r="E210" s="11">
        <f t="shared" si="15"/>
        <v>59.999999999999943</v>
      </c>
      <c r="F210" s="8" t="s">
        <v>13</v>
      </c>
      <c r="G210" s="8" t="s">
        <v>187</v>
      </c>
      <c r="H210" s="8" t="s">
        <v>69</v>
      </c>
      <c r="I210" s="8"/>
    </row>
    <row r="211" spans="1:9" x14ac:dyDescent="0.3">
      <c r="A211" s="13"/>
      <c r="B211" s="17"/>
      <c r="C211" s="13"/>
      <c r="D211" s="13"/>
      <c r="E211" s="13"/>
      <c r="F211" s="17"/>
      <c r="G211" s="13"/>
      <c r="H211" s="13"/>
      <c r="I211" s="13"/>
    </row>
    <row r="212" spans="1:9" ht="15" customHeight="1" x14ac:dyDescent="0.3">
      <c r="A212" s="4" t="s">
        <v>1</v>
      </c>
      <c r="B212" s="4" t="s">
        <v>2</v>
      </c>
      <c r="C212" s="5" t="s">
        <v>3</v>
      </c>
      <c r="D212" s="6"/>
      <c r="E212" s="4" t="s">
        <v>4</v>
      </c>
      <c r="F212" s="4" t="s">
        <v>5</v>
      </c>
      <c r="G212" s="4" t="s">
        <v>6</v>
      </c>
      <c r="H212" s="4" t="s">
        <v>7</v>
      </c>
      <c r="I212" s="4" t="s">
        <v>8</v>
      </c>
    </row>
    <row r="213" spans="1:9" x14ac:dyDescent="0.3">
      <c r="A213" s="7"/>
      <c r="B213" s="7"/>
      <c r="C213" s="8" t="s">
        <v>9</v>
      </c>
      <c r="D213" s="8" t="s">
        <v>10</v>
      </c>
      <c r="E213" s="7"/>
      <c r="F213" s="7"/>
      <c r="G213" s="7"/>
      <c r="H213" s="7"/>
      <c r="I213" s="7"/>
    </row>
    <row r="214" spans="1:9" x14ac:dyDescent="0.3">
      <c r="A214" s="14">
        <v>45854</v>
      </c>
      <c r="B214" s="14" t="s">
        <v>88</v>
      </c>
      <c r="C214" s="10">
        <v>0.30555555555555558</v>
      </c>
      <c r="D214" s="10">
        <f t="shared" ref="D214:D227" si="16">C215</f>
        <v>0.33333333333333331</v>
      </c>
      <c r="E214" s="11">
        <f t="shared" ref="E214:E227" si="17">(D214-C214)*1440</f>
        <v>39.999999999999936</v>
      </c>
      <c r="F214" s="8" t="s">
        <v>13</v>
      </c>
      <c r="G214" s="8" t="s">
        <v>14</v>
      </c>
      <c r="H214" s="8" t="s">
        <v>15</v>
      </c>
      <c r="I214" s="8"/>
    </row>
    <row r="215" spans="1:9" x14ac:dyDescent="0.3">
      <c r="A215" s="14">
        <v>45854</v>
      </c>
      <c r="B215" s="14" t="s">
        <v>88</v>
      </c>
      <c r="C215" s="10">
        <v>0.33333333333333331</v>
      </c>
      <c r="D215" s="10">
        <f t="shared" si="16"/>
        <v>0.35416666666666669</v>
      </c>
      <c r="E215" s="11">
        <f t="shared" si="17"/>
        <v>30.000000000000053</v>
      </c>
      <c r="F215" s="8" t="s">
        <v>13</v>
      </c>
      <c r="G215" s="8" t="s">
        <v>24</v>
      </c>
      <c r="H215" s="8" t="s">
        <v>62</v>
      </c>
      <c r="I215" s="8"/>
    </row>
    <row r="216" spans="1:9" x14ac:dyDescent="0.3">
      <c r="A216" s="14">
        <v>45854</v>
      </c>
      <c r="B216" s="14" t="s">
        <v>88</v>
      </c>
      <c r="C216" s="10">
        <v>0.35416666666666669</v>
      </c>
      <c r="D216" s="10">
        <f t="shared" si="16"/>
        <v>0.375</v>
      </c>
      <c r="E216" s="11">
        <f t="shared" si="17"/>
        <v>29.999999999999972</v>
      </c>
      <c r="F216" s="8" t="s">
        <v>13</v>
      </c>
      <c r="G216" s="8" t="s">
        <v>188</v>
      </c>
      <c r="H216" s="8" t="s">
        <v>62</v>
      </c>
      <c r="I216" s="8"/>
    </row>
    <row r="217" spans="1:9" x14ac:dyDescent="0.3">
      <c r="A217" s="14">
        <v>45854</v>
      </c>
      <c r="B217" s="14" t="s">
        <v>88</v>
      </c>
      <c r="C217" s="10">
        <v>0.375</v>
      </c>
      <c r="D217" s="10">
        <f t="shared" si="16"/>
        <v>0.40625</v>
      </c>
      <c r="E217" s="11">
        <f t="shared" si="17"/>
        <v>45</v>
      </c>
      <c r="F217" s="8" t="s">
        <v>13</v>
      </c>
      <c r="G217" s="8" t="s">
        <v>189</v>
      </c>
      <c r="H217" s="8" t="s">
        <v>78</v>
      </c>
      <c r="I217" s="8"/>
    </row>
    <row r="218" spans="1:9" x14ac:dyDescent="0.3">
      <c r="A218" s="14">
        <v>45854</v>
      </c>
      <c r="B218" s="14" t="s">
        <v>88</v>
      </c>
      <c r="C218" s="10">
        <v>0.40625</v>
      </c>
      <c r="D218" s="10">
        <f t="shared" si="16"/>
        <v>0.41666666666666669</v>
      </c>
      <c r="E218" s="11">
        <f t="shared" si="17"/>
        <v>15.000000000000027</v>
      </c>
      <c r="F218" s="8" t="s">
        <v>13</v>
      </c>
      <c r="G218" s="8" t="s">
        <v>190</v>
      </c>
      <c r="H218" s="8" t="s">
        <v>18</v>
      </c>
      <c r="I218" s="8"/>
    </row>
    <row r="219" spans="1:9" x14ac:dyDescent="0.3">
      <c r="A219" s="14">
        <v>45854</v>
      </c>
      <c r="B219" s="14" t="s">
        <v>88</v>
      </c>
      <c r="C219" s="10">
        <v>0.41666666666666669</v>
      </c>
      <c r="D219" s="10">
        <f t="shared" si="16"/>
        <v>0.4375</v>
      </c>
      <c r="E219" s="11">
        <f t="shared" si="17"/>
        <v>29.999999999999972</v>
      </c>
      <c r="F219" s="8" t="s">
        <v>13</v>
      </c>
      <c r="G219" s="8" t="s">
        <v>191</v>
      </c>
      <c r="H219" s="8" t="s">
        <v>122</v>
      </c>
      <c r="I219" s="8"/>
    </row>
    <row r="220" spans="1:9" x14ac:dyDescent="0.3">
      <c r="A220" s="14">
        <v>45854</v>
      </c>
      <c r="B220" s="14" t="s">
        <v>88</v>
      </c>
      <c r="C220" s="10">
        <v>0.4375</v>
      </c>
      <c r="D220" s="10">
        <f t="shared" si="16"/>
        <v>0.47916666666666669</v>
      </c>
      <c r="E220" s="11">
        <f t="shared" si="17"/>
        <v>60.000000000000028</v>
      </c>
      <c r="F220" s="8" t="s">
        <v>13</v>
      </c>
      <c r="G220" s="8" t="s">
        <v>192</v>
      </c>
      <c r="H220" s="8" t="s">
        <v>36</v>
      </c>
      <c r="I220" s="8"/>
    </row>
    <row r="221" spans="1:9" x14ac:dyDescent="0.3">
      <c r="A221" s="14">
        <v>45854</v>
      </c>
      <c r="B221" s="14" t="s">
        <v>88</v>
      </c>
      <c r="C221" s="10">
        <v>0.47916666666666669</v>
      </c>
      <c r="D221" s="10">
        <f t="shared" si="16"/>
        <v>0.5</v>
      </c>
      <c r="E221" s="11">
        <f t="shared" si="17"/>
        <v>29.999999999999972</v>
      </c>
      <c r="F221" s="8" t="s">
        <v>13</v>
      </c>
      <c r="G221" s="8" t="s">
        <v>193</v>
      </c>
      <c r="H221" s="8" t="s">
        <v>78</v>
      </c>
      <c r="I221" s="8"/>
    </row>
    <row r="222" spans="1:9" x14ac:dyDescent="0.3">
      <c r="A222" s="14">
        <v>45854</v>
      </c>
      <c r="B222" s="14" t="s">
        <v>88</v>
      </c>
      <c r="C222" s="10">
        <v>0.5</v>
      </c>
      <c r="D222" s="10">
        <f t="shared" si="16"/>
        <v>0.54166666666666663</v>
      </c>
      <c r="E222" s="11">
        <f t="shared" si="17"/>
        <v>59.999999999999943</v>
      </c>
      <c r="F222" s="8" t="s">
        <v>13</v>
      </c>
      <c r="G222" s="8" t="s">
        <v>36</v>
      </c>
      <c r="H222" s="8" t="s">
        <v>78</v>
      </c>
      <c r="I222" s="8"/>
    </row>
    <row r="223" spans="1:9" x14ac:dyDescent="0.3">
      <c r="A223" s="14">
        <v>45854</v>
      </c>
      <c r="B223" s="14" t="s">
        <v>88</v>
      </c>
      <c r="C223" s="10">
        <v>0.54166666666666663</v>
      </c>
      <c r="D223" s="10">
        <f t="shared" si="16"/>
        <v>0.5625</v>
      </c>
      <c r="E223" s="11">
        <f t="shared" si="17"/>
        <v>30.000000000000053</v>
      </c>
      <c r="F223" s="8" t="s">
        <v>13</v>
      </c>
      <c r="G223" s="8" t="s">
        <v>194</v>
      </c>
      <c r="H223" s="8" t="s">
        <v>36</v>
      </c>
      <c r="I223" s="8"/>
    </row>
    <row r="224" spans="1:9" x14ac:dyDescent="0.3">
      <c r="A224" s="14">
        <v>45854</v>
      </c>
      <c r="B224" s="14" t="s">
        <v>88</v>
      </c>
      <c r="C224" s="10">
        <v>0.5625</v>
      </c>
      <c r="D224" s="10">
        <f t="shared" si="16"/>
        <v>0.58333333333333337</v>
      </c>
      <c r="E224" s="11">
        <f t="shared" si="17"/>
        <v>30.000000000000053</v>
      </c>
      <c r="F224" s="8" t="s">
        <v>13</v>
      </c>
      <c r="G224" s="8" t="s">
        <v>195</v>
      </c>
      <c r="H224" s="8" t="s">
        <v>122</v>
      </c>
      <c r="I224" s="8"/>
    </row>
    <row r="225" spans="1:9" x14ac:dyDescent="0.3">
      <c r="A225" s="14">
        <v>45854</v>
      </c>
      <c r="B225" s="14" t="s">
        <v>88</v>
      </c>
      <c r="C225" s="10">
        <v>0.58333333333333337</v>
      </c>
      <c r="D225" s="10">
        <f t="shared" si="16"/>
        <v>0.625</v>
      </c>
      <c r="E225" s="11">
        <f t="shared" si="17"/>
        <v>59.999999999999943</v>
      </c>
      <c r="F225" s="8" t="s">
        <v>13</v>
      </c>
      <c r="G225" s="8" t="s">
        <v>196</v>
      </c>
      <c r="H225" s="8" t="s">
        <v>69</v>
      </c>
      <c r="I225" s="8"/>
    </row>
    <row r="226" spans="1:9" x14ac:dyDescent="0.3">
      <c r="A226" s="14">
        <v>45855</v>
      </c>
      <c r="B226" s="14" t="s">
        <v>88</v>
      </c>
      <c r="C226" s="10">
        <v>0.625</v>
      </c>
      <c r="D226" s="10">
        <f t="shared" si="16"/>
        <v>0.66666666666666696</v>
      </c>
      <c r="E226" s="11">
        <f t="shared" si="17"/>
        <v>60.000000000000426</v>
      </c>
      <c r="F226" s="8" t="s">
        <v>13</v>
      </c>
      <c r="G226" s="8" t="s">
        <v>197</v>
      </c>
      <c r="H226" s="8" t="s">
        <v>69</v>
      </c>
      <c r="I226" s="8"/>
    </row>
    <row r="227" spans="1:9" x14ac:dyDescent="0.3">
      <c r="A227" s="14">
        <v>45856</v>
      </c>
      <c r="B227" s="14" t="s">
        <v>88</v>
      </c>
      <c r="C227" s="10">
        <v>0.66666666666666696</v>
      </c>
      <c r="D227" s="10">
        <f t="shared" si="16"/>
        <v>0</v>
      </c>
      <c r="E227" s="11">
        <f t="shared" si="17"/>
        <v>-960.00000000000045</v>
      </c>
      <c r="F227" s="8" t="s">
        <v>13</v>
      </c>
      <c r="G227" s="8"/>
      <c r="H227" s="8" t="s">
        <v>69</v>
      </c>
      <c r="I227" s="8"/>
    </row>
  </sheetData>
  <mergeCells count="107">
    <mergeCell ref="H197:H198"/>
    <mergeCell ref="I197:I198"/>
    <mergeCell ref="A212:A213"/>
    <mergeCell ref="B212:B213"/>
    <mergeCell ref="C212:D212"/>
    <mergeCell ref="E212:E213"/>
    <mergeCell ref="F212:F213"/>
    <mergeCell ref="G212:G213"/>
    <mergeCell ref="H212:H213"/>
    <mergeCell ref="I212:I213"/>
    <mergeCell ref="A197:A198"/>
    <mergeCell ref="B197:B198"/>
    <mergeCell ref="C197:D197"/>
    <mergeCell ref="E197:E198"/>
    <mergeCell ref="F197:F198"/>
    <mergeCell ref="G197:G198"/>
    <mergeCell ref="A180:I180"/>
    <mergeCell ref="A182:A183"/>
    <mergeCell ref="B182:B183"/>
    <mergeCell ref="C182:D182"/>
    <mergeCell ref="E182:E183"/>
    <mergeCell ref="F182:F183"/>
    <mergeCell ref="G182:G183"/>
    <mergeCell ref="H182:H183"/>
    <mergeCell ref="I182:I183"/>
    <mergeCell ref="H149:H150"/>
    <mergeCell ref="I149:I150"/>
    <mergeCell ref="A165:A166"/>
    <mergeCell ref="B165:B166"/>
    <mergeCell ref="C165:D165"/>
    <mergeCell ref="E165:E166"/>
    <mergeCell ref="F165:F166"/>
    <mergeCell ref="G165:G166"/>
    <mergeCell ref="H165:H166"/>
    <mergeCell ref="I165:I166"/>
    <mergeCell ref="A149:A150"/>
    <mergeCell ref="B149:B150"/>
    <mergeCell ref="C149:D149"/>
    <mergeCell ref="E149:E150"/>
    <mergeCell ref="F149:F150"/>
    <mergeCell ref="G149:G150"/>
    <mergeCell ref="H115:H116"/>
    <mergeCell ref="I115:I116"/>
    <mergeCell ref="A133:A134"/>
    <mergeCell ref="B133:B134"/>
    <mergeCell ref="C133:D133"/>
    <mergeCell ref="E133:E134"/>
    <mergeCell ref="F133:F134"/>
    <mergeCell ref="G133:G134"/>
    <mergeCell ref="H133:H134"/>
    <mergeCell ref="I133:I134"/>
    <mergeCell ref="A115:A116"/>
    <mergeCell ref="B115:B116"/>
    <mergeCell ref="C115:D115"/>
    <mergeCell ref="E115:E116"/>
    <mergeCell ref="F115:F116"/>
    <mergeCell ref="G115:G116"/>
    <mergeCell ref="A96:I96"/>
    <mergeCell ref="A98:A99"/>
    <mergeCell ref="B98:B99"/>
    <mergeCell ref="C98:D98"/>
    <mergeCell ref="E98:E99"/>
    <mergeCell ref="F98:F99"/>
    <mergeCell ref="G98:G99"/>
    <mergeCell ref="H98:H99"/>
    <mergeCell ref="I98:I99"/>
    <mergeCell ref="H68:H69"/>
    <mergeCell ref="I68:I69"/>
    <mergeCell ref="A73:A74"/>
    <mergeCell ref="B73:B74"/>
    <mergeCell ref="C73:D73"/>
    <mergeCell ref="E73:E74"/>
    <mergeCell ref="F73:F74"/>
    <mergeCell ref="G73:G74"/>
    <mergeCell ref="H73:H74"/>
    <mergeCell ref="I73:I74"/>
    <mergeCell ref="A68:A69"/>
    <mergeCell ref="B68:B69"/>
    <mergeCell ref="C68:D68"/>
    <mergeCell ref="E68:E69"/>
    <mergeCell ref="F68:F69"/>
    <mergeCell ref="G68:G69"/>
    <mergeCell ref="H34:H35"/>
    <mergeCell ref="I34:I35"/>
    <mergeCell ref="A63:A64"/>
    <mergeCell ref="B63:B64"/>
    <mergeCell ref="C63:D63"/>
    <mergeCell ref="E63:E64"/>
    <mergeCell ref="F63:F64"/>
    <mergeCell ref="G63:G64"/>
    <mergeCell ref="H63:H64"/>
    <mergeCell ref="I63:I64"/>
    <mergeCell ref="A34:A35"/>
    <mergeCell ref="B34:B35"/>
    <mergeCell ref="C34:D34"/>
    <mergeCell ref="E34:E35"/>
    <mergeCell ref="F34:F35"/>
    <mergeCell ref="G34:G35"/>
    <mergeCell ref="A1:I1"/>
    <mergeCell ref="A2:A3"/>
    <mergeCell ref="B2:B3"/>
    <mergeCell ref="C2:D2"/>
    <mergeCell ref="E2:E3"/>
    <mergeCell ref="F2:F3"/>
    <mergeCell ref="G2:G3"/>
    <mergeCell ref="H2:H3"/>
    <mergeCell ref="I2: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D960-89EB-446F-8747-C8A274F5747B}">
  <dimension ref="A1:I794"/>
  <sheetViews>
    <sheetView workbookViewId="0">
      <selection sqref="A1:XFD1048576"/>
    </sheetView>
  </sheetViews>
  <sheetFormatPr defaultColWidth="9.109375" defaultRowHeight="13.8" x14ac:dyDescent="0.25"/>
  <cols>
    <col min="1" max="1" width="10.33203125" style="24" bestFit="1" customWidth="1"/>
    <col min="2" max="2" width="9.109375" style="77"/>
    <col min="3" max="3" width="10.109375" style="24" customWidth="1"/>
    <col min="4" max="4" width="11.6640625" style="24" bestFit="1" customWidth="1"/>
    <col min="5" max="5" width="9.5546875" style="24" bestFit="1" customWidth="1"/>
    <col min="6" max="6" width="14.6640625" style="77" customWidth="1"/>
    <col min="7" max="7" width="66.5546875" style="24" customWidth="1"/>
    <col min="8" max="8" width="24.5546875" style="24" customWidth="1"/>
    <col min="9" max="9" width="20" style="24" customWidth="1"/>
    <col min="10" max="16384" width="9.109375" style="24"/>
  </cols>
  <sheetData>
    <row r="1" spans="1:9" x14ac:dyDescent="0.25">
      <c r="A1" s="19" t="s">
        <v>1</v>
      </c>
      <c r="B1" s="20" t="s">
        <v>2</v>
      </c>
      <c r="C1" s="21" t="s">
        <v>3</v>
      </c>
      <c r="D1" s="21"/>
      <c r="E1" s="22" t="s">
        <v>4</v>
      </c>
      <c r="F1" s="23" t="s">
        <v>5</v>
      </c>
      <c r="G1" s="23" t="s">
        <v>6</v>
      </c>
      <c r="H1" s="23" t="s">
        <v>7</v>
      </c>
      <c r="I1" s="23" t="s">
        <v>8</v>
      </c>
    </row>
    <row r="2" spans="1:9" x14ac:dyDescent="0.25">
      <c r="A2" s="25"/>
      <c r="B2" s="26"/>
      <c r="C2" s="27" t="s">
        <v>9</v>
      </c>
      <c r="D2" s="27" t="s">
        <v>10</v>
      </c>
      <c r="E2" s="28"/>
      <c r="F2" s="29"/>
      <c r="G2" s="29"/>
      <c r="H2" s="29"/>
      <c r="I2" s="29"/>
    </row>
    <row r="3" spans="1:9" s="35" customFormat="1" x14ac:dyDescent="0.25">
      <c r="A3" s="30"/>
      <c r="B3" s="31"/>
      <c r="C3" s="32"/>
      <c r="D3" s="32"/>
      <c r="E3" s="33"/>
      <c r="F3" s="34"/>
      <c r="G3" s="34"/>
      <c r="H3" s="34"/>
      <c r="I3" s="34"/>
    </row>
    <row r="4" spans="1:9" x14ac:dyDescent="0.25">
      <c r="A4" s="36">
        <v>45838</v>
      </c>
      <c r="B4" s="37" t="s">
        <v>12</v>
      </c>
      <c r="C4" s="38">
        <v>0.25</v>
      </c>
      <c r="D4" s="38">
        <v>0.25694444444444442</v>
      </c>
      <c r="E4" s="39">
        <f t="shared" ref="E4:E25" si="0">(D4-C4)*1440</f>
        <v>9.9999999999999645</v>
      </c>
      <c r="F4" s="40" t="s">
        <v>198</v>
      </c>
      <c r="G4" s="41" t="s">
        <v>199</v>
      </c>
      <c r="H4" s="42" t="s">
        <v>44</v>
      </c>
      <c r="I4" s="27"/>
    </row>
    <row r="5" spans="1:9" ht="23.4" x14ac:dyDescent="0.25">
      <c r="A5" s="43">
        <v>45838</v>
      </c>
      <c r="B5" s="37" t="s">
        <v>12</v>
      </c>
      <c r="C5" s="44">
        <v>0.25694444444444442</v>
      </c>
      <c r="D5" s="44">
        <v>0.27777777777777779</v>
      </c>
      <c r="E5" s="39">
        <f t="shared" si="0"/>
        <v>30.000000000000053</v>
      </c>
      <c r="F5" s="45" t="s">
        <v>198</v>
      </c>
      <c r="G5" s="46" t="s">
        <v>200</v>
      </c>
      <c r="H5" s="46" t="s">
        <v>44</v>
      </c>
      <c r="I5" s="45"/>
    </row>
    <row r="6" spans="1:9" x14ac:dyDescent="0.25">
      <c r="A6" s="43">
        <v>45838</v>
      </c>
      <c r="B6" s="37" t="s">
        <v>12</v>
      </c>
      <c r="C6" s="44">
        <v>0.27777777777777779</v>
      </c>
      <c r="D6" s="44">
        <v>0.28472222222222221</v>
      </c>
      <c r="E6" s="39">
        <f t="shared" si="0"/>
        <v>9.9999999999999645</v>
      </c>
      <c r="F6" s="45" t="s">
        <v>198</v>
      </c>
      <c r="G6" s="46" t="s">
        <v>201</v>
      </c>
      <c r="H6" s="46" t="s">
        <v>44</v>
      </c>
      <c r="I6" s="45"/>
    </row>
    <row r="7" spans="1:9" ht="23.4" x14ac:dyDescent="0.25">
      <c r="A7" s="43">
        <v>45838</v>
      </c>
      <c r="B7" s="37" t="s">
        <v>12</v>
      </c>
      <c r="C7" s="44">
        <v>0.28472222222222221</v>
      </c>
      <c r="D7" s="44">
        <v>0.29166666666666669</v>
      </c>
      <c r="E7" s="39">
        <f t="shared" si="0"/>
        <v>10.000000000000044</v>
      </c>
      <c r="F7" s="45" t="s">
        <v>198</v>
      </c>
      <c r="G7" s="46" t="s">
        <v>202</v>
      </c>
      <c r="H7" s="46" t="s">
        <v>44</v>
      </c>
      <c r="I7" s="45"/>
    </row>
    <row r="8" spans="1:9" x14ac:dyDescent="0.25">
      <c r="A8" s="43">
        <v>45838</v>
      </c>
      <c r="B8" s="37" t="s">
        <v>12</v>
      </c>
      <c r="C8" s="44">
        <v>0.29166666666666669</v>
      </c>
      <c r="D8" s="44">
        <v>0.3125</v>
      </c>
      <c r="E8" s="39">
        <f t="shared" si="0"/>
        <v>29.999999999999972</v>
      </c>
      <c r="F8" s="45" t="s">
        <v>198</v>
      </c>
      <c r="G8" s="46" t="s">
        <v>201</v>
      </c>
      <c r="H8" s="46" t="s">
        <v>44</v>
      </c>
      <c r="I8" s="45"/>
    </row>
    <row r="9" spans="1:9" x14ac:dyDescent="0.25">
      <c r="A9" s="43">
        <v>45838</v>
      </c>
      <c r="B9" s="37" t="s">
        <v>12</v>
      </c>
      <c r="C9" s="44">
        <v>0.3125</v>
      </c>
      <c r="D9" s="44">
        <v>0.3263888888888889</v>
      </c>
      <c r="E9" s="39">
        <f t="shared" si="0"/>
        <v>20.000000000000007</v>
      </c>
      <c r="F9" s="45" t="s">
        <v>198</v>
      </c>
      <c r="G9" s="47" t="s">
        <v>14</v>
      </c>
      <c r="H9" s="47" t="s">
        <v>15</v>
      </c>
      <c r="I9" s="37"/>
    </row>
    <row r="10" spans="1:9" x14ac:dyDescent="0.25">
      <c r="A10" s="43">
        <v>45838</v>
      </c>
      <c r="B10" s="37" t="s">
        <v>12</v>
      </c>
      <c r="C10" s="44">
        <v>0.3263888888888889</v>
      </c>
      <c r="D10" s="44">
        <v>0.3298611111111111</v>
      </c>
      <c r="E10" s="39">
        <f t="shared" si="0"/>
        <v>4.9999999999999822</v>
      </c>
      <c r="F10" s="45" t="s">
        <v>198</v>
      </c>
      <c r="G10" s="48" t="s">
        <v>17</v>
      </c>
      <c r="H10" s="47" t="s">
        <v>18</v>
      </c>
      <c r="I10" s="37"/>
    </row>
    <row r="11" spans="1:9" x14ac:dyDescent="0.25">
      <c r="A11" s="43">
        <v>45838</v>
      </c>
      <c r="B11" s="37" t="s">
        <v>12</v>
      </c>
      <c r="C11" s="44">
        <v>0.3298611111111111</v>
      </c>
      <c r="D11" s="44">
        <v>0.34375</v>
      </c>
      <c r="E11" s="39">
        <f t="shared" si="0"/>
        <v>20.000000000000007</v>
      </c>
      <c r="F11" s="45" t="s">
        <v>198</v>
      </c>
      <c r="G11" s="49" t="s">
        <v>20</v>
      </c>
      <c r="H11" s="47" t="s">
        <v>21</v>
      </c>
      <c r="I11" s="37"/>
    </row>
    <row r="12" spans="1:9" x14ac:dyDescent="0.25">
      <c r="A12" s="43">
        <v>45838</v>
      </c>
      <c r="B12" s="37" t="s">
        <v>12</v>
      </c>
      <c r="C12" s="44">
        <v>0.34375</v>
      </c>
      <c r="D12" s="44">
        <v>0.34722222222222221</v>
      </c>
      <c r="E12" s="39">
        <f t="shared" si="0"/>
        <v>4.9999999999999822</v>
      </c>
      <c r="F12" s="45" t="s">
        <v>198</v>
      </c>
      <c r="G12" s="47" t="s">
        <v>203</v>
      </c>
      <c r="H12" s="47" t="s">
        <v>18</v>
      </c>
      <c r="I12" s="37"/>
    </row>
    <row r="13" spans="1:9" x14ac:dyDescent="0.25">
      <c r="A13" s="43">
        <v>45838</v>
      </c>
      <c r="B13" s="37" t="s">
        <v>12</v>
      </c>
      <c r="C13" s="44">
        <v>0.34722222222222221</v>
      </c>
      <c r="D13" s="44">
        <v>0.3576388888888889</v>
      </c>
      <c r="E13" s="39">
        <f t="shared" si="0"/>
        <v>15.000000000000027</v>
      </c>
      <c r="F13" s="45" t="s">
        <v>198</v>
      </c>
      <c r="G13" s="49" t="s">
        <v>204</v>
      </c>
      <c r="H13" s="47" t="s">
        <v>44</v>
      </c>
      <c r="I13" s="37"/>
    </row>
    <row r="14" spans="1:9" x14ac:dyDescent="0.25">
      <c r="A14" s="43">
        <v>45838</v>
      </c>
      <c r="B14" s="37" t="s">
        <v>12</v>
      </c>
      <c r="C14" s="44">
        <v>0.3576388888888889</v>
      </c>
      <c r="D14" s="44">
        <v>0.41666666666666669</v>
      </c>
      <c r="E14" s="39">
        <f t="shared" si="0"/>
        <v>85.000000000000014</v>
      </c>
      <c r="F14" s="45" t="s">
        <v>198</v>
      </c>
      <c r="G14" s="49" t="s">
        <v>205</v>
      </c>
      <c r="H14" s="47" t="s">
        <v>44</v>
      </c>
      <c r="I14" s="37"/>
    </row>
    <row r="15" spans="1:9" x14ac:dyDescent="0.25">
      <c r="A15" s="43">
        <v>45838</v>
      </c>
      <c r="B15" s="37" t="s">
        <v>12</v>
      </c>
      <c r="C15" s="44">
        <v>0.41666666666666669</v>
      </c>
      <c r="D15" s="44">
        <v>0.42708333333333331</v>
      </c>
      <c r="E15" s="39">
        <f t="shared" si="0"/>
        <v>14.999999999999947</v>
      </c>
      <c r="F15" s="45" t="s">
        <v>198</v>
      </c>
      <c r="G15" s="50" t="s">
        <v>206</v>
      </c>
      <c r="H15" s="47" t="s">
        <v>44</v>
      </c>
      <c r="I15" s="37"/>
    </row>
    <row r="16" spans="1:9" x14ac:dyDescent="0.25">
      <c r="A16" s="43">
        <v>45838</v>
      </c>
      <c r="B16" s="37" t="s">
        <v>12</v>
      </c>
      <c r="C16" s="44">
        <v>0.43055555555555558</v>
      </c>
      <c r="D16" s="44">
        <v>0.44097222222222221</v>
      </c>
      <c r="E16" s="39">
        <f t="shared" si="0"/>
        <v>14.999999999999947</v>
      </c>
      <c r="F16" s="45" t="s">
        <v>198</v>
      </c>
      <c r="G16" s="49" t="s">
        <v>207</v>
      </c>
      <c r="H16" s="47" t="s">
        <v>44</v>
      </c>
      <c r="I16" s="37" t="s">
        <v>208</v>
      </c>
    </row>
    <row r="17" spans="1:9" x14ac:dyDescent="0.25">
      <c r="A17" s="43">
        <v>45838</v>
      </c>
      <c r="B17" s="37" t="s">
        <v>12</v>
      </c>
      <c r="C17" s="44">
        <v>0.44097222222222221</v>
      </c>
      <c r="D17" s="44">
        <v>0.45833333333333331</v>
      </c>
      <c r="E17" s="39">
        <f t="shared" si="0"/>
        <v>24.999999999999993</v>
      </c>
      <c r="F17" s="45" t="s">
        <v>198</v>
      </c>
      <c r="G17" s="47" t="s">
        <v>209</v>
      </c>
      <c r="H17" s="47" t="s">
        <v>44</v>
      </c>
      <c r="I17" s="37"/>
    </row>
    <row r="18" spans="1:9" x14ac:dyDescent="0.25">
      <c r="A18" s="43">
        <v>45838</v>
      </c>
      <c r="B18" s="37" t="s">
        <v>12</v>
      </c>
      <c r="C18" s="44">
        <v>0.45833333333333331</v>
      </c>
      <c r="D18" s="44">
        <v>0.47916666666666669</v>
      </c>
      <c r="E18" s="39">
        <f t="shared" si="0"/>
        <v>30.000000000000053</v>
      </c>
      <c r="F18" s="45" t="s">
        <v>198</v>
      </c>
      <c r="G18" s="47" t="s">
        <v>210</v>
      </c>
      <c r="H18" s="47" t="s">
        <v>44</v>
      </c>
      <c r="I18" s="37"/>
    </row>
    <row r="19" spans="1:9" x14ac:dyDescent="0.25">
      <c r="A19" s="43">
        <v>45838</v>
      </c>
      <c r="B19" s="37" t="s">
        <v>12</v>
      </c>
      <c r="C19" s="44">
        <v>0.47916666666666669</v>
      </c>
      <c r="D19" s="44">
        <v>0.5</v>
      </c>
      <c r="E19" s="39">
        <f t="shared" si="0"/>
        <v>29.999999999999972</v>
      </c>
      <c r="F19" s="45" t="s">
        <v>198</v>
      </c>
      <c r="G19" s="49" t="s">
        <v>211</v>
      </c>
      <c r="H19" s="47" t="s">
        <v>44</v>
      </c>
      <c r="I19" s="37"/>
    </row>
    <row r="20" spans="1:9" x14ac:dyDescent="0.25">
      <c r="A20" s="43">
        <v>45838</v>
      </c>
      <c r="B20" s="37" t="s">
        <v>12</v>
      </c>
      <c r="C20" s="44">
        <v>0.5</v>
      </c>
      <c r="D20" s="44">
        <v>0.53125</v>
      </c>
      <c r="E20" s="39">
        <f t="shared" si="0"/>
        <v>45</v>
      </c>
      <c r="F20" s="45" t="s">
        <v>198</v>
      </c>
      <c r="G20" s="47" t="s">
        <v>48</v>
      </c>
      <c r="H20" s="47" t="s">
        <v>36</v>
      </c>
      <c r="I20" s="37"/>
    </row>
    <row r="21" spans="1:9" x14ac:dyDescent="0.25">
      <c r="A21" s="43">
        <v>45838</v>
      </c>
      <c r="B21" s="37" t="s">
        <v>12</v>
      </c>
      <c r="C21" s="44">
        <v>0.53125</v>
      </c>
      <c r="D21" s="44">
        <v>0.54166666666666663</v>
      </c>
      <c r="E21" s="39">
        <f t="shared" si="0"/>
        <v>14.999999999999947</v>
      </c>
      <c r="F21" s="45" t="s">
        <v>198</v>
      </c>
      <c r="G21" s="51" t="s">
        <v>212</v>
      </c>
      <c r="H21" s="47" t="s">
        <v>44</v>
      </c>
      <c r="I21" s="37"/>
    </row>
    <row r="22" spans="1:9" ht="19.5" customHeight="1" x14ac:dyDescent="0.25">
      <c r="A22" s="43">
        <v>45838</v>
      </c>
      <c r="B22" s="37" t="s">
        <v>12</v>
      </c>
      <c r="C22" s="44">
        <v>0.54166666666666663</v>
      </c>
      <c r="D22" s="44">
        <v>0.55208333333333337</v>
      </c>
      <c r="E22" s="39">
        <f t="shared" si="0"/>
        <v>15.000000000000107</v>
      </c>
      <c r="F22" s="45" t="s">
        <v>198</v>
      </c>
      <c r="G22" s="52" t="s">
        <v>50</v>
      </c>
      <c r="H22" s="47" t="s">
        <v>122</v>
      </c>
      <c r="I22" s="37"/>
    </row>
    <row r="23" spans="1:9" x14ac:dyDescent="0.25">
      <c r="A23" s="43">
        <v>45838</v>
      </c>
      <c r="B23" s="37" t="s">
        <v>12</v>
      </c>
      <c r="C23" s="44">
        <v>0.55208333333333337</v>
      </c>
      <c r="D23" s="44">
        <v>0.5625</v>
      </c>
      <c r="E23" s="39">
        <f t="shared" si="0"/>
        <v>14.999999999999947</v>
      </c>
      <c r="F23" s="45" t="s">
        <v>198</v>
      </c>
      <c r="G23" s="49" t="s">
        <v>213</v>
      </c>
      <c r="H23" s="47" t="s">
        <v>44</v>
      </c>
      <c r="I23" s="37"/>
    </row>
    <row r="24" spans="1:9" x14ac:dyDescent="0.25">
      <c r="A24" s="43">
        <v>45838</v>
      </c>
      <c r="B24" s="37" t="s">
        <v>12</v>
      </c>
      <c r="C24" s="44">
        <v>0.5625</v>
      </c>
      <c r="D24" s="44">
        <v>0.58333333333333337</v>
      </c>
      <c r="E24" s="39">
        <f t="shared" si="0"/>
        <v>30.000000000000053</v>
      </c>
      <c r="F24" s="45" t="s">
        <v>198</v>
      </c>
      <c r="G24" s="47" t="s">
        <v>214</v>
      </c>
      <c r="H24" s="47" t="s">
        <v>44</v>
      </c>
      <c r="I24" s="37"/>
    </row>
    <row r="25" spans="1:9" x14ac:dyDescent="0.25">
      <c r="A25" s="43">
        <v>45838</v>
      </c>
      <c r="B25" s="37" t="s">
        <v>12</v>
      </c>
      <c r="C25" s="44">
        <v>0.58333333333333337</v>
      </c>
      <c r="D25" s="44">
        <v>0.63541666666666663</v>
      </c>
      <c r="E25" s="39">
        <f t="shared" si="0"/>
        <v>74.999999999999886</v>
      </c>
      <c r="F25" s="45" t="s">
        <v>198</v>
      </c>
      <c r="G25" s="49" t="s">
        <v>215</v>
      </c>
      <c r="H25" s="47" t="s">
        <v>44</v>
      </c>
      <c r="I25" s="37"/>
    </row>
    <row r="26" spans="1:9" x14ac:dyDescent="0.25">
      <c r="A26" s="35"/>
      <c r="B26" s="53"/>
      <c r="C26" s="35"/>
      <c r="D26" s="35"/>
      <c r="E26" s="35"/>
      <c r="F26" s="53"/>
      <c r="G26" s="35"/>
      <c r="H26" s="35"/>
      <c r="I26" s="35"/>
    </row>
    <row r="27" spans="1:9" x14ac:dyDescent="0.25">
      <c r="A27" s="19" t="s">
        <v>1</v>
      </c>
      <c r="B27" s="19" t="s">
        <v>2</v>
      </c>
      <c r="C27" s="54" t="s">
        <v>3</v>
      </c>
      <c r="D27" s="55"/>
      <c r="E27" s="19" t="s">
        <v>4</v>
      </c>
      <c r="F27" s="19" t="s">
        <v>5</v>
      </c>
      <c r="G27" s="19" t="s">
        <v>6</v>
      </c>
      <c r="H27" s="19" t="s">
        <v>7</v>
      </c>
      <c r="I27" s="19" t="s">
        <v>8</v>
      </c>
    </row>
    <row r="28" spans="1:9" x14ac:dyDescent="0.25">
      <c r="A28" s="56"/>
      <c r="B28" s="56"/>
      <c r="C28" s="51" t="s">
        <v>9</v>
      </c>
      <c r="D28" s="51" t="s">
        <v>10</v>
      </c>
      <c r="E28" s="56"/>
      <c r="F28" s="56"/>
      <c r="G28" s="56"/>
      <c r="H28" s="56"/>
      <c r="I28" s="56"/>
    </row>
    <row r="29" spans="1:9" x14ac:dyDescent="0.25">
      <c r="A29" s="57">
        <v>45839</v>
      </c>
      <c r="B29" s="51" t="s">
        <v>59</v>
      </c>
      <c r="C29" s="58">
        <v>0.25</v>
      </c>
      <c r="D29" s="58">
        <v>0.27777777777777779</v>
      </c>
      <c r="E29" s="39">
        <f t="shared" ref="E29:E58" si="1">(D29-C29)*1440</f>
        <v>40.000000000000014</v>
      </c>
      <c r="F29" s="51" t="s">
        <v>198</v>
      </c>
      <c r="G29" s="51" t="s">
        <v>199</v>
      </c>
      <c r="H29" s="51" t="s">
        <v>44</v>
      </c>
      <c r="I29" s="51" t="s">
        <v>23</v>
      </c>
    </row>
    <row r="30" spans="1:9" x14ac:dyDescent="0.25">
      <c r="A30" s="57">
        <v>45839</v>
      </c>
      <c r="B30" s="51" t="s">
        <v>59</v>
      </c>
      <c r="C30" s="58">
        <v>0.27777777777777779</v>
      </c>
      <c r="D30" s="58">
        <v>0.28472222222222221</v>
      </c>
      <c r="E30" s="39">
        <f t="shared" si="1"/>
        <v>9.9999999999999645</v>
      </c>
      <c r="F30" s="51" t="s">
        <v>198</v>
      </c>
      <c r="G30" s="51" t="s">
        <v>201</v>
      </c>
      <c r="H30" s="51" t="s">
        <v>44</v>
      </c>
      <c r="I30" s="51" t="s">
        <v>23</v>
      </c>
    </row>
    <row r="31" spans="1:9" ht="23.4" x14ac:dyDescent="0.25">
      <c r="A31" s="57">
        <v>45839</v>
      </c>
      <c r="B31" s="51" t="s">
        <v>59</v>
      </c>
      <c r="C31" s="58">
        <v>0.28472222222222221</v>
      </c>
      <c r="D31" s="58">
        <v>0.28819444444444442</v>
      </c>
      <c r="E31" s="39">
        <f t="shared" si="1"/>
        <v>4.9999999999999822</v>
      </c>
      <c r="F31" s="51" t="s">
        <v>198</v>
      </c>
      <c r="G31" s="51" t="s">
        <v>202</v>
      </c>
      <c r="H31" s="51" t="s">
        <v>44</v>
      </c>
      <c r="I31" s="51" t="s">
        <v>23</v>
      </c>
    </row>
    <row r="32" spans="1:9" x14ac:dyDescent="0.25">
      <c r="A32" s="57">
        <v>45839</v>
      </c>
      <c r="B32" s="51" t="s">
        <v>59</v>
      </c>
      <c r="C32" s="58">
        <v>0.28819444444444442</v>
      </c>
      <c r="D32" s="58">
        <v>0.3125</v>
      </c>
      <c r="E32" s="39">
        <f t="shared" si="1"/>
        <v>35.000000000000036</v>
      </c>
      <c r="F32" s="51" t="s">
        <v>198</v>
      </c>
      <c r="G32" s="51" t="s">
        <v>216</v>
      </c>
      <c r="H32" s="51" t="s">
        <v>44</v>
      </c>
      <c r="I32" s="51" t="s">
        <v>23</v>
      </c>
    </row>
    <row r="33" spans="1:9" x14ac:dyDescent="0.25">
      <c r="A33" s="57">
        <v>45839</v>
      </c>
      <c r="B33" s="51" t="s">
        <v>59</v>
      </c>
      <c r="C33" s="58">
        <v>0.3125</v>
      </c>
      <c r="D33" s="58">
        <v>0.31944444444444442</v>
      </c>
      <c r="E33" s="39">
        <f t="shared" si="1"/>
        <v>9.9999999999999645</v>
      </c>
      <c r="F33" s="51" t="s">
        <v>198</v>
      </c>
      <c r="G33" s="51" t="s">
        <v>217</v>
      </c>
      <c r="H33" s="51" t="s">
        <v>44</v>
      </c>
      <c r="I33" s="51" t="s">
        <v>23</v>
      </c>
    </row>
    <row r="34" spans="1:9" x14ac:dyDescent="0.25">
      <c r="A34" s="57">
        <v>45839</v>
      </c>
      <c r="B34" s="51" t="s">
        <v>59</v>
      </c>
      <c r="C34" s="58">
        <v>0.31944444444444442</v>
      </c>
      <c r="D34" s="58">
        <v>0.3263888888888889</v>
      </c>
      <c r="E34" s="39">
        <f t="shared" si="1"/>
        <v>10.000000000000044</v>
      </c>
      <c r="F34" s="51" t="s">
        <v>198</v>
      </c>
      <c r="G34" s="51" t="s">
        <v>218</v>
      </c>
      <c r="H34" s="51" t="s">
        <v>25</v>
      </c>
      <c r="I34" s="51" t="s">
        <v>23</v>
      </c>
    </row>
    <row r="35" spans="1:9" x14ac:dyDescent="0.25">
      <c r="A35" s="57">
        <v>45839</v>
      </c>
      <c r="B35" s="51" t="s">
        <v>59</v>
      </c>
      <c r="C35" s="58">
        <v>0.3263888888888889</v>
      </c>
      <c r="D35" s="58">
        <v>0.33333333333333331</v>
      </c>
      <c r="E35" s="39">
        <f t="shared" si="1"/>
        <v>9.9999999999999645</v>
      </c>
      <c r="F35" s="51" t="s">
        <v>198</v>
      </c>
      <c r="G35" s="51" t="s">
        <v>219</v>
      </c>
      <c r="H35" s="51" t="s">
        <v>36</v>
      </c>
      <c r="I35" s="51" t="s">
        <v>23</v>
      </c>
    </row>
    <row r="36" spans="1:9" x14ac:dyDescent="0.25">
      <c r="A36" s="57">
        <v>45839</v>
      </c>
      <c r="B36" s="51" t="s">
        <v>59</v>
      </c>
      <c r="C36" s="58">
        <v>0.33333333333333331</v>
      </c>
      <c r="D36" s="58">
        <v>0.35416666666666669</v>
      </c>
      <c r="E36" s="39">
        <f t="shared" si="1"/>
        <v>30.000000000000053</v>
      </c>
      <c r="F36" s="51" t="s">
        <v>198</v>
      </c>
      <c r="G36" s="51" t="s">
        <v>220</v>
      </c>
      <c r="H36" s="51" t="s">
        <v>15</v>
      </c>
      <c r="I36" s="51" t="s">
        <v>23</v>
      </c>
    </row>
    <row r="37" spans="1:9" x14ac:dyDescent="0.25">
      <c r="A37" s="57">
        <v>45839</v>
      </c>
      <c r="B37" s="51" t="s">
        <v>59</v>
      </c>
      <c r="C37" s="58">
        <v>0.35416666666666669</v>
      </c>
      <c r="D37" s="58">
        <v>0.375</v>
      </c>
      <c r="E37" s="39">
        <f t="shared" si="1"/>
        <v>29.999999999999972</v>
      </c>
      <c r="F37" s="51" t="s">
        <v>198</v>
      </c>
      <c r="G37" s="51" t="s">
        <v>221</v>
      </c>
      <c r="H37" s="51" t="s">
        <v>44</v>
      </c>
      <c r="I37" s="51" t="s">
        <v>23</v>
      </c>
    </row>
    <row r="38" spans="1:9" x14ac:dyDescent="0.25">
      <c r="A38" s="57">
        <v>45839</v>
      </c>
      <c r="B38" s="51" t="s">
        <v>59</v>
      </c>
      <c r="C38" s="58">
        <v>0.375</v>
      </c>
      <c r="D38" s="58">
        <v>0.39583333333333331</v>
      </c>
      <c r="E38" s="39">
        <f t="shared" si="1"/>
        <v>29.999999999999972</v>
      </c>
      <c r="F38" s="51" t="s">
        <v>198</v>
      </c>
      <c r="G38" s="51" t="s">
        <v>222</v>
      </c>
      <c r="H38" s="51" t="s">
        <v>44</v>
      </c>
      <c r="I38" s="51" t="s">
        <v>23</v>
      </c>
    </row>
    <row r="39" spans="1:9" x14ac:dyDescent="0.25">
      <c r="A39" s="57">
        <v>45839</v>
      </c>
      <c r="B39" s="51" t="s">
        <v>59</v>
      </c>
      <c r="C39" s="58">
        <v>0.39583333333333331</v>
      </c>
      <c r="D39" s="58">
        <v>0.42708333333333331</v>
      </c>
      <c r="E39" s="39">
        <f t="shared" si="1"/>
        <v>45</v>
      </c>
      <c r="F39" s="51" t="s">
        <v>198</v>
      </c>
      <c r="G39" s="51" t="s">
        <v>223</v>
      </c>
      <c r="H39" s="51" t="s">
        <v>44</v>
      </c>
      <c r="I39" s="51" t="s">
        <v>23</v>
      </c>
    </row>
    <row r="40" spans="1:9" x14ac:dyDescent="0.25">
      <c r="A40" s="57">
        <v>45839</v>
      </c>
      <c r="B40" s="51" t="s">
        <v>59</v>
      </c>
      <c r="C40" s="58">
        <v>0.42708333333333331</v>
      </c>
      <c r="D40" s="58">
        <v>0.43819444444444444</v>
      </c>
      <c r="E40" s="39">
        <f t="shared" si="1"/>
        <v>16.000000000000021</v>
      </c>
      <c r="F40" s="51" t="s">
        <v>198</v>
      </c>
      <c r="G40" s="51" t="s">
        <v>224</v>
      </c>
      <c r="H40" s="51" t="s">
        <v>224</v>
      </c>
      <c r="I40" s="51" t="s">
        <v>23</v>
      </c>
    </row>
    <row r="41" spans="1:9" x14ac:dyDescent="0.25">
      <c r="A41" s="57">
        <v>45839</v>
      </c>
      <c r="B41" s="51" t="s">
        <v>59</v>
      </c>
      <c r="C41" s="58">
        <v>0.43819444444444444</v>
      </c>
      <c r="D41" s="58">
        <v>0.4513888888888889</v>
      </c>
      <c r="E41" s="39">
        <f t="shared" si="1"/>
        <v>19.000000000000014</v>
      </c>
      <c r="F41" s="51" t="s">
        <v>198</v>
      </c>
      <c r="G41" s="51" t="s">
        <v>225</v>
      </c>
      <c r="H41" s="51" t="s">
        <v>36</v>
      </c>
      <c r="I41" s="51" t="s">
        <v>23</v>
      </c>
    </row>
    <row r="42" spans="1:9" x14ac:dyDescent="0.25">
      <c r="A42" s="57">
        <v>45839</v>
      </c>
      <c r="B42" s="51" t="s">
        <v>59</v>
      </c>
      <c r="C42" s="58">
        <v>0.4513888888888889</v>
      </c>
      <c r="D42" s="58">
        <v>0.46944444444444444</v>
      </c>
      <c r="E42" s="39">
        <f t="shared" si="1"/>
        <v>25.999999999999986</v>
      </c>
      <c r="F42" s="51" t="s">
        <v>198</v>
      </c>
      <c r="G42" s="51" t="s">
        <v>226</v>
      </c>
      <c r="H42" s="51" t="s">
        <v>78</v>
      </c>
      <c r="I42" s="51" t="s">
        <v>23</v>
      </c>
    </row>
    <row r="43" spans="1:9" x14ac:dyDescent="0.25">
      <c r="A43" s="57">
        <v>45839</v>
      </c>
      <c r="B43" s="51" t="s">
        <v>59</v>
      </c>
      <c r="C43" s="58">
        <v>0.46944444444444444</v>
      </c>
      <c r="D43" s="58">
        <v>0.49652777777777779</v>
      </c>
      <c r="E43" s="39">
        <f t="shared" si="1"/>
        <v>39.000000000000021</v>
      </c>
      <c r="F43" s="51" t="s">
        <v>198</v>
      </c>
      <c r="G43" s="51" t="s">
        <v>227</v>
      </c>
      <c r="H43" s="51" t="s">
        <v>44</v>
      </c>
      <c r="I43" s="51" t="s">
        <v>23</v>
      </c>
    </row>
    <row r="44" spans="1:9" x14ac:dyDescent="0.25">
      <c r="A44" s="57">
        <v>45839</v>
      </c>
      <c r="B44" s="51" t="s">
        <v>59</v>
      </c>
      <c r="C44" s="58">
        <v>0.49652777777777779</v>
      </c>
      <c r="D44" s="58">
        <v>0.50347222222222221</v>
      </c>
      <c r="E44" s="39">
        <f t="shared" si="1"/>
        <v>9.9999999999999645</v>
      </c>
      <c r="F44" s="51" t="s">
        <v>198</v>
      </c>
      <c r="G44" s="51" t="s">
        <v>228</v>
      </c>
      <c r="H44" s="51" t="s">
        <v>44</v>
      </c>
      <c r="I44" s="51" t="s">
        <v>23</v>
      </c>
    </row>
    <row r="45" spans="1:9" x14ac:dyDescent="0.25">
      <c r="A45" s="57">
        <v>45839</v>
      </c>
      <c r="B45" s="51" t="s">
        <v>59</v>
      </c>
      <c r="C45" s="58">
        <v>0.50347222222222221</v>
      </c>
      <c r="D45" s="58">
        <v>0.50694444444444442</v>
      </c>
      <c r="E45" s="39">
        <f t="shared" si="1"/>
        <v>4.9999999999999822</v>
      </c>
      <c r="F45" s="51" t="s">
        <v>198</v>
      </c>
      <c r="G45" s="51" t="s">
        <v>229</v>
      </c>
      <c r="H45" s="51" t="s">
        <v>44</v>
      </c>
      <c r="I45" s="51" t="s">
        <v>23</v>
      </c>
    </row>
    <row r="46" spans="1:9" x14ac:dyDescent="0.25">
      <c r="A46" s="57">
        <v>45839</v>
      </c>
      <c r="B46" s="51" t="s">
        <v>59</v>
      </c>
      <c r="C46" s="58">
        <v>0.50694444444444442</v>
      </c>
      <c r="D46" s="58">
        <v>0.51388888888888884</v>
      </c>
      <c r="E46" s="39">
        <f t="shared" si="1"/>
        <v>9.9999999999999645</v>
      </c>
      <c r="F46" s="51" t="s">
        <v>198</v>
      </c>
      <c r="G46" s="51" t="s">
        <v>230</v>
      </c>
      <c r="H46" s="51" t="s">
        <v>44</v>
      </c>
      <c r="I46" s="51" t="s">
        <v>23</v>
      </c>
    </row>
    <row r="47" spans="1:9" x14ac:dyDescent="0.25">
      <c r="A47" s="57">
        <v>45839</v>
      </c>
      <c r="B47" s="51" t="s">
        <v>59</v>
      </c>
      <c r="C47" s="58">
        <v>0.51388888888888884</v>
      </c>
      <c r="D47" s="58">
        <v>0.52777777777777779</v>
      </c>
      <c r="E47" s="39">
        <f t="shared" si="1"/>
        <v>20.000000000000089</v>
      </c>
      <c r="F47" s="51" t="s">
        <v>198</v>
      </c>
      <c r="G47" s="51" t="s">
        <v>231</v>
      </c>
      <c r="H47" s="51" t="s">
        <v>44</v>
      </c>
      <c r="I47" s="51" t="s">
        <v>23</v>
      </c>
    </row>
    <row r="48" spans="1:9" x14ac:dyDescent="0.25">
      <c r="A48" s="57">
        <v>45839</v>
      </c>
      <c r="B48" s="51" t="s">
        <v>59</v>
      </c>
      <c r="C48" s="58">
        <v>0.52777777777777779</v>
      </c>
      <c r="D48" s="58">
        <v>0.54861111111111116</v>
      </c>
      <c r="E48" s="39">
        <f t="shared" si="1"/>
        <v>30.000000000000053</v>
      </c>
      <c r="F48" s="51" t="s">
        <v>198</v>
      </c>
      <c r="G48" s="51" t="s">
        <v>232</v>
      </c>
      <c r="H48" s="59" t="s">
        <v>36</v>
      </c>
      <c r="I48" s="51" t="s">
        <v>23</v>
      </c>
    </row>
    <row r="49" spans="1:9" x14ac:dyDescent="0.25">
      <c r="A49" s="57">
        <v>45839</v>
      </c>
      <c r="B49" s="51" t="s">
        <v>59</v>
      </c>
      <c r="C49" s="58">
        <v>0.54861111111111116</v>
      </c>
      <c r="D49" s="58">
        <v>0.55902777777777779</v>
      </c>
      <c r="E49" s="39">
        <f t="shared" si="1"/>
        <v>14.999999999999947</v>
      </c>
      <c r="F49" s="51" t="s">
        <v>198</v>
      </c>
      <c r="G49" s="51" t="s">
        <v>233</v>
      </c>
      <c r="H49" s="60" t="s">
        <v>234</v>
      </c>
      <c r="I49" s="51" t="s">
        <v>23</v>
      </c>
    </row>
    <row r="50" spans="1:9" x14ac:dyDescent="0.25">
      <c r="A50" s="57">
        <v>45839</v>
      </c>
      <c r="B50" s="51" t="s">
        <v>59</v>
      </c>
      <c r="C50" s="58">
        <v>0.55902777777777779</v>
      </c>
      <c r="D50" s="58">
        <v>0.56944444444444442</v>
      </c>
      <c r="E50" s="39">
        <f t="shared" si="1"/>
        <v>14.999999999999947</v>
      </c>
      <c r="F50" s="51" t="s">
        <v>198</v>
      </c>
      <c r="G50" s="51" t="s">
        <v>235</v>
      </c>
      <c r="H50" s="51" t="s">
        <v>234</v>
      </c>
      <c r="I50" s="51" t="s">
        <v>23</v>
      </c>
    </row>
    <row r="51" spans="1:9" x14ac:dyDescent="0.25">
      <c r="A51" s="57">
        <v>45839</v>
      </c>
      <c r="B51" s="51" t="s">
        <v>59</v>
      </c>
      <c r="C51" s="58">
        <v>0.56944444444444442</v>
      </c>
      <c r="D51" s="58">
        <v>0.57986111111111116</v>
      </c>
      <c r="E51" s="39">
        <f t="shared" si="1"/>
        <v>15.000000000000107</v>
      </c>
      <c r="F51" s="51" t="s">
        <v>198</v>
      </c>
      <c r="G51" s="51" t="s">
        <v>236</v>
      </c>
      <c r="H51" s="51" t="s">
        <v>44</v>
      </c>
      <c r="I51" s="51" t="s">
        <v>23</v>
      </c>
    </row>
    <row r="52" spans="1:9" x14ac:dyDescent="0.25">
      <c r="A52" s="57">
        <v>45839</v>
      </c>
      <c r="B52" s="51" t="s">
        <v>59</v>
      </c>
      <c r="C52" s="58">
        <v>0.57986111111111116</v>
      </c>
      <c r="D52" s="58">
        <v>0.59027777777777779</v>
      </c>
      <c r="E52" s="39">
        <f t="shared" si="1"/>
        <v>14.999999999999947</v>
      </c>
      <c r="F52" s="51" t="s">
        <v>198</v>
      </c>
      <c r="G52" s="51" t="s">
        <v>237</v>
      </c>
      <c r="H52" s="51" t="s">
        <v>69</v>
      </c>
      <c r="I52" s="51" t="s">
        <v>23</v>
      </c>
    </row>
    <row r="53" spans="1:9" x14ac:dyDescent="0.25">
      <c r="A53" s="57">
        <v>45839</v>
      </c>
      <c r="B53" s="51" t="s">
        <v>59</v>
      </c>
      <c r="C53" s="58">
        <v>0.59027777777777779</v>
      </c>
      <c r="D53" s="58">
        <v>0.61111111111111116</v>
      </c>
      <c r="E53" s="39">
        <f t="shared" si="1"/>
        <v>30.000000000000053</v>
      </c>
      <c r="F53" s="51" t="s">
        <v>198</v>
      </c>
      <c r="G53" s="51" t="s">
        <v>238</v>
      </c>
      <c r="H53" s="51" t="s">
        <v>44</v>
      </c>
      <c r="I53" s="51" t="s">
        <v>23</v>
      </c>
    </row>
    <row r="54" spans="1:9" x14ac:dyDescent="0.25">
      <c r="A54" s="57">
        <v>45839</v>
      </c>
      <c r="B54" s="51" t="s">
        <v>59</v>
      </c>
      <c r="C54" s="58">
        <v>0.61111111111111116</v>
      </c>
      <c r="D54" s="58">
        <v>0.62152777777777779</v>
      </c>
      <c r="E54" s="39">
        <f t="shared" si="1"/>
        <v>14.999999999999947</v>
      </c>
      <c r="F54" s="51" t="s">
        <v>198</v>
      </c>
      <c r="G54" s="51" t="s">
        <v>239</v>
      </c>
      <c r="H54" s="51" t="s">
        <v>44</v>
      </c>
      <c r="I54" s="51" t="s">
        <v>23</v>
      </c>
    </row>
    <row r="55" spans="1:9" x14ac:dyDescent="0.25">
      <c r="A55" s="57">
        <v>45839</v>
      </c>
      <c r="B55" s="51" t="s">
        <v>59</v>
      </c>
      <c r="C55" s="58">
        <v>0.62152777777777779</v>
      </c>
      <c r="D55" s="58">
        <v>0.63194444444444442</v>
      </c>
      <c r="E55" s="39">
        <f t="shared" si="1"/>
        <v>14.999999999999947</v>
      </c>
      <c r="F55" s="51" t="s">
        <v>198</v>
      </c>
      <c r="G55" s="51" t="s">
        <v>240</v>
      </c>
      <c r="H55" s="51" t="s">
        <v>44</v>
      </c>
      <c r="I55" s="61" t="s">
        <v>23</v>
      </c>
    </row>
    <row r="56" spans="1:9" x14ac:dyDescent="0.25">
      <c r="A56" s="57">
        <v>45839</v>
      </c>
      <c r="B56" s="51" t="s">
        <v>59</v>
      </c>
      <c r="C56" s="58">
        <v>0.63194444444444442</v>
      </c>
      <c r="D56" s="58">
        <v>0.64583333333333337</v>
      </c>
      <c r="E56" s="39">
        <f t="shared" si="1"/>
        <v>20.000000000000089</v>
      </c>
      <c r="F56" s="51" t="s">
        <v>198</v>
      </c>
      <c r="G56" s="51" t="s">
        <v>241</v>
      </c>
      <c r="H56" s="51" t="s">
        <v>44</v>
      </c>
      <c r="I56" s="61" t="s">
        <v>23</v>
      </c>
    </row>
    <row r="57" spans="1:9" x14ac:dyDescent="0.25">
      <c r="A57" s="57">
        <v>45839</v>
      </c>
      <c r="B57" s="51" t="s">
        <v>59</v>
      </c>
      <c r="C57" s="58">
        <v>0.64583333333333337</v>
      </c>
      <c r="D57" s="58">
        <v>0.65972222222222221</v>
      </c>
      <c r="E57" s="39">
        <f t="shared" si="1"/>
        <v>19.999999999999929</v>
      </c>
      <c r="F57" s="51" t="s">
        <v>198</v>
      </c>
      <c r="G57" s="51" t="s">
        <v>242</v>
      </c>
      <c r="H57" s="51" t="s">
        <v>44</v>
      </c>
      <c r="I57" s="61" t="s">
        <v>23</v>
      </c>
    </row>
    <row r="58" spans="1:9" x14ac:dyDescent="0.25">
      <c r="A58" s="57">
        <v>45839</v>
      </c>
      <c r="B58" s="51" t="s">
        <v>59</v>
      </c>
      <c r="C58" s="58">
        <v>0.65972222222222221</v>
      </c>
      <c r="D58" s="58">
        <v>0.66666666666666663</v>
      </c>
      <c r="E58" s="39">
        <f t="shared" si="1"/>
        <v>9.9999999999999645</v>
      </c>
      <c r="F58" s="51" t="s">
        <v>198</v>
      </c>
      <c r="G58" s="51" t="s">
        <v>243</v>
      </c>
      <c r="H58" s="51" t="s">
        <v>44</v>
      </c>
      <c r="I58" s="61" t="s">
        <v>23</v>
      </c>
    </row>
    <row r="59" spans="1:9" x14ac:dyDescent="0.25">
      <c r="A59" s="35"/>
      <c r="B59" s="53"/>
      <c r="C59" s="35"/>
      <c r="D59" s="35"/>
      <c r="E59" s="35"/>
      <c r="F59" s="53"/>
      <c r="G59" s="35"/>
      <c r="H59" s="35"/>
      <c r="I59" s="35"/>
    </row>
    <row r="60" spans="1:9" x14ac:dyDescent="0.25">
      <c r="A60" s="19" t="s">
        <v>1</v>
      </c>
      <c r="B60" s="19" t="s">
        <v>2</v>
      </c>
      <c r="C60" s="54" t="s">
        <v>3</v>
      </c>
      <c r="D60" s="55"/>
      <c r="E60" s="19" t="s">
        <v>4</v>
      </c>
      <c r="F60" s="19" t="s">
        <v>5</v>
      </c>
      <c r="G60" s="19" t="s">
        <v>6</v>
      </c>
      <c r="H60" s="19" t="s">
        <v>7</v>
      </c>
      <c r="I60" s="19" t="s">
        <v>8</v>
      </c>
    </row>
    <row r="61" spans="1:9" x14ac:dyDescent="0.25">
      <c r="A61" s="56"/>
      <c r="B61" s="56"/>
      <c r="C61" s="51" t="s">
        <v>9</v>
      </c>
      <c r="D61" s="51" t="s">
        <v>10</v>
      </c>
      <c r="E61" s="56"/>
      <c r="F61" s="56"/>
      <c r="G61" s="56"/>
      <c r="H61" s="56"/>
      <c r="I61" s="56"/>
    </row>
    <row r="62" spans="1:9" x14ac:dyDescent="0.25">
      <c r="A62" s="57">
        <v>45840</v>
      </c>
      <c r="B62" s="51" t="s">
        <v>88</v>
      </c>
      <c r="C62" s="58">
        <v>0.25</v>
      </c>
      <c r="D62" s="58">
        <v>0.26041666666666669</v>
      </c>
      <c r="E62" s="39">
        <f t="shared" ref="E62:E84" si="2">(D62-C62)*1440</f>
        <v>15.000000000000027</v>
      </c>
      <c r="F62" s="51" t="s">
        <v>198</v>
      </c>
      <c r="G62" s="51" t="s">
        <v>244</v>
      </c>
      <c r="H62" s="51" t="s">
        <v>44</v>
      </c>
      <c r="I62" s="51" t="s">
        <v>23</v>
      </c>
    </row>
    <row r="63" spans="1:9" x14ac:dyDescent="0.25">
      <c r="A63" s="57">
        <v>45840</v>
      </c>
      <c r="B63" s="51" t="s">
        <v>88</v>
      </c>
      <c r="C63" s="58">
        <v>0.26041666666666669</v>
      </c>
      <c r="D63" s="58">
        <v>0.2673611111111111</v>
      </c>
      <c r="E63" s="39">
        <f t="shared" si="2"/>
        <v>9.9999999999999645</v>
      </c>
      <c r="F63" s="51" t="s">
        <v>198</v>
      </c>
      <c r="G63" s="51" t="s">
        <v>245</v>
      </c>
      <c r="H63" s="51" t="s">
        <v>18</v>
      </c>
      <c r="I63" s="51" t="s">
        <v>23</v>
      </c>
    </row>
    <row r="64" spans="1:9" ht="23.4" x14ac:dyDescent="0.25">
      <c r="A64" s="57">
        <v>45840</v>
      </c>
      <c r="B64" s="51" t="s">
        <v>88</v>
      </c>
      <c r="C64" s="58">
        <v>0.2673611111111111</v>
      </c>
      <c r="D64" s="58">
        <v>0.29166666666666669</v>
      </c>
      <c r="E64" s="39">
        <f t="shared" si="2"/>
        <v>35.000000000000036</v>
      </c>
      <c r="F64" s="51" t="s">
        <v>198</v>
      </c>
      <c r="G64" s="51" t="s">
        <v>246</v>
      </c>
      <c r="H64" s="51" t="s">
        <v>44</v>
      </c>
      <c r="I64" s="51" t="s">
        <v>23</v>
      </c>
    </row>
    <row r="65" spans="1:9" x14ac:dyDescent="0.25">
      <c r="A65" s="57">
        <v>45840</v>
      </c>
      <c r="B65" s="51" t="s">
        <v>88</v>
      </c>
      <c r="C65" s="58">
        <v>0.29166666666666669</v>
      </c>
      <c r="D65" s="58">
        <v>0.2986111111111111</v>
      </c>
      <c r="E65" s="39">
        <f t="shared" si="2"/>
        <v>9.9999999999999645</v>
      </c>
      <c r="F65" s="51" t="s">
        <v>198</v>
      </c>
      <c r="G65" s="51" t="s">
        <v>247</v>
      </c>
      <c r="H65" s="51" t="s">
        <v>44</v>
      </c>
      <c r="I65" s="51" t="s">
        <v>23</v>
      </c>
    </row>
    <row r="66" spans="1:9" x14ac:dyDescent="0.25">
      <c r="A66" s="57">
        <v>45840</v>
      </c>
      <c r="B66" s="51" t="s">
        <v>88</v>
      </c>
      <c r="C66" s="58">
        <v>0.2986111111111111</v>
      </c>
      <c r="D66" s="58">
        <v>0.30555555555555558</v>
      </c>
      <c r="E66" s="39">
        <f t="shared" si="2"/>
        <v>10.000000000000044</v>
      </c>
      <c r="F66" s="51" t="s">
        <v>198</v>
      </c>
      <c r="G66" s="51" t="s">
        <v>248</v>
      </c>
      <c r="H66" s="51" t="s">
        <v>44</v>
      </c>
      <c r="I66" s="51" t="s">
        <v>23</v>
      </c>
    </row>
    <row r="67" spans="1:9" x14ac:dyDescent="0.25">
      <c r="A67" s="57">
        <v>45840</v>
      </c>
      <c r="B67" s="51" t="s">
        <v>88</v>
      </c>
      <c r="C67" s="58">
        <v>0.30555555555555558</v>
      </c>
      <c r="D67" s="58">
        <v>0.30902777777777779</v>
      </c>
      <c r="E67" s="39">
        <f t="shared" si="2"/>
        <v>4.9999999999999822</v>
      </c>
      <c r="F67" s="51" t="s">
        <v>198</v>
      </c>
      <c r="G67" s="51" t="s">
        <v>249</v>
      </c>
      <c r="H67" s="51" t="s">
        <v>44</v>
      </c>
      <c r="I67" s="51" t="s">
        <v>23</v>
      </c>
    </row>
    <row r="68" spans="1:9" x14ac:dyDescent="0.25">
      <c r="A68" s="57">
        <v>45840</v>
      </c>
      <c r="B68" s="51" t="s">
        <v>88</v>
      </c>
      <c r="C68" s="58">
        <v>0.30902777777777779</v>
      </c>
      <c r="D68" s="58">
        <v>0.3125</v>
      </c>
      <c r="E68" s="39">
        <f t="shared" si="2"/>
        <v>4.9999999999999822</v>
      </c>
      <c r="F68" s="51" t="s">
        <v>198</v>
      </c>
      <c r="G68" s="51" t="s">
        <v>250</v>
      </c>
      <c r="H68" s="51" t="s">
        <v>44</v>
      </c>
      <c r="I68" s="51" t="s">
        <v>23</v>
      </c>
    </row>
    <row r="69" spans="1:9" x14ac:dyDescent="0.25">
      <c r="A69" s="57">
        <v>45840</v>
      </c>
      <c r="B69" s="51" t="s">
        <v>88</v>
      </c>
      <c r="C69" s="58">
        <v>0.3125</v>
      </c>
      <c r="D69" s="58">
        <v>0.3298611111111111</v>
      </c>
      <c r="E69" s="39">
        <f t="shared" si="2"/>
        <v>24.999999999999993</v>
      </c>
      <c r="F69" s="51" t="s">
        <v>198</v>
      </c>
      <c r="G69" s="51" t="s">
        <v>220</v>
      </c>
      <c r="H69" s="51" t="s">
        <v>251</v>
      </c>
      <c r="I69" s="51" t="s">
        <v>23</v>
      </c>
    </row>
    <row r="70" spans="1:9" x14ac:dyDescent="0.25">
      <c r="A70" s="57">
        <v>45840</v>
      </c>
      <c r="B70" s="51" t="s">
        <v>88</v>
      </c>
      <c r="C70" s="58">
        <v>0.3298611111111111</v>
      </c>
      <c r="D70" s="58">
        <v>0.35416666666666669</v>
      </c>
      <c r="E70" s="39">
        <f t="shared" si="2"/>
        <v>35.000000000000036</v>
      </c>
      <c r="F70" s="51" t="s">
        <v>198</v>
      </c>
      <c r="G70" s="51" t="s">
        <v>241</v>
      </c>
      <c r="H70" s="51" t="s">
        <v>44</v>
      </c>
      <c r="I70" s="51" t="s">
        <v>23</v>
      </c>
    </row>
    <row r="71" spans="1:9" x14ac:dyDescent="0.25">
      <c r="A71" s="57">
        <v>45840</v>
      </c>
      <c r="B71" s="51" t="s">
        <v>88</v>
      </c>
      <c r="C71" s="58">
        <v>0.35416666666666669</v>
      </c>
      <c r="D71" s="58">
        <v>0.375</v>
      </c>
      <c r="E71" s="39">
        <f t="shared" si="2"/>
        <v>29.999999999999972</v>
      </c>
      <c r="F71" s="51" t="s">
        <v>198</v>
      </c>
      <c r="G71" s="51" t="s">
        <v>252</v>
      </c>
      <c r="H71" s="51" t="s">
        <v>25</v>
      </c>
      <c r="I71" s="51" t="s">
        <v>23</v>
      </c>
    </row>
    <row r="72" spans="1:9" x14ac:dyDescent="0.25">
      <c r="A72" s="57">
        <v>45840</v>
      </c>
      <c r="B72" s="51" t="s">
        <v>88</v>
      </c>
      <c r="C72" s="58">
        <v>0.375</v>
      </c>
      <c r="D72" s="58">
        <v>0.4513888888888889</v>
      </c>
      <c r="E72" s="39">
        <f t="shared" si="2"/>
        <v>110.00000000000001</v>
      </c>
      <c r="F72" s="51" t="s">
        <v>198</v>
      </c>
      <c r="G72" s="51" t="s">
        <v>253</v>
      </c>
      <c r="H72" s="51" t="s">
        <v>254</v>
      </c>
      <c r="I72" s="51" t="s">
        <v>23</v>
      </c>
    </row>
    <row r="73" spans="1:9" x14ac:dyDescent="0.25">
      <c r="A73" s="57">
        <v>45840</v>
      </c>
      <c r="B73" s="51" t="s">
        <v>88</v>
      </c>
      <c r="C73" s="58">
        <v>0.4513888888888889</v>
      </c>
      <c r="D73" s="58">
        <v>0.49305555555555558</v>
      </c>
      <c r="E73" s="39">
        <f t="shared" si="2"/>
        <v>60.000000000000028</v>
      </c>
      <c r="F73" s="51" t="s">
        <v>198</v>
      </c>
      <c r="G73" s="51" t="s">
        <v>255</v>
      </c>
      <c r="H73" s="51" t="s">
        <v>44</v>
      </c>
      <c r="I73" s="51" t="s">
        <v>23</v>
      </c>
    </row>
    <row r="74" spans="1:9" x14ac:dyDescent="0.25">
      <c r="A74" s="57">
        <v>45840</v>
      </c>
      <c r="B74" s="51" t="s">
        <v>88</v>
      </c>
      <c r="C74" s="58">
        <v>0.49305555555555558</v>
      </c>
      <c r="D74" s="58">
        <v>0.51180555555555551</v>
      </c>
      <c r="E74" s="39">
        <f t="shared" si="2"/>
        <v>26.999999999999904</v>
      </c>
      <c r="F74" s="51" t="s">
        <v>198</v>
      </c>
      <c r="G74" s="51" t="s">
        <v>256</v>
      </c>
      <c r="H74" s="51" t="s">
        <v>122</v>
      </c>
      <c r="I74" s="51" t="s">
        <v>23</v>
      </c>
    </row>
    <row r="75" spans="1:9" x14ac:dyDescent="0.25">
      <c r="A75" s="57">
        <v>45840</v>
      </c>
      <c r="B75" s="51" t="s">
        <v>88</v>
      </c>
      <c r="C75" s="58">
        <v>0.51180555555555551</v>
      </c>
      <c r="D75" s="58">
        <v>0.52430555555555558</v>
      </c>
      <c r="E75" s="39">
        <f t="shared" si="2"/>
        <v>18.000000000000096</v>
      </c>
      <c r="F75" s="51" t="s">
        <v>198</v>
      </c>
      <c r="G75" s="51" t="s">
        <v>257</v>
      </c>
      <c r="H75" s="51" t="s">
        <v>122</v>
      </c>
      <c r="I75" s="51" t="s">
        <v>23</v>
      </c>
    </row>
    <row r="76" spans="1:9" x14ac:dyDescent="0.25">
      <c r="A76" s="57">
        <v>45840</v>
      </c>
      <c r="B76" s="51" t="s">
        <v>88</v>
      </c>
      <c r="C76" s="58">
        <v>0.52430555555555558</v>
      </c>
      <c r="D76" s="58">
        <v>0.54861111111111116</v>
      </c>
      <c r="E76" s="39">
        <f t="shared" si="2"/>
        <v>35.000000000000036</v>
      </c>
      <c r="F76" s="51" t="s">
        <v>198</v>
      </c>
      <c r="G76" s="51" t="s">
        <v>232</v>
      </c>
      <c r="H76" s="51" t="s">
        <v>36</v>
      </c>
      <c r="I76" s="51" t="s">
        <v>23</v>
      </c>
    </row>
    <row r="77" spans="1:9" x14ac:dyDescent="0.25">
      <c r="A77" s="57">
        <v>45840</v>
      </c>
      <c r="B77" s="51" t="s">
        <v>88</v>
      </c>
      <c r="C77" s="58">
        <v>0.54861111111111116</v>
      </c>
      <c r="D77" s="58">
        <v>0.5625</v>
      </c>
      <c r="E77" s="39">
        <f t="shared" si="2"/>
        <v>19.999999999999929</v>
      </c>
      <c r="F77" s="51" t="s">
        <v>198</v>
      </c>
      <c r="G77" s="51" t="s">
        <v>258</v>
      </c>
      <c r="H77" s="51" t="s">
        <v>44</v>
      </c>
      <c r="I77" s="51" t="s">
        <v>23</v>
      </c>
    </row>
    <row r="78" spans="1:9" x14ac:dyDescent="0.25">
      <c r="A78" s="57">
        <v>45840</v>
      </c>
      <c r="B78" s="51" t="s">
        <v>88</v>
      </c>
      <c r="C78" s="58">
        <v>0.5625</v>
      </c>
      <c r="D78" s="58">
        <v>0.56944444444444442</v>
      </c>
      <c r="E78" s="39">
        <f t="shared" si="2"/>
        <v>9.9999999999999645</v>
      </c>
      <c r="F78" s="51" t="s">
        <v>198</v>
      </c>
      <c r="G78" s="51" t="s">
        <v>259</v>
      </c>
      <c r="H78" s="51" t="s">
        <v>44</v>
      </c>
      <c r="I78" s="51" t="s">
        <v>23</v>
      </c>
    </row>
    <row r="79" spans="1:9" x14ac:dyDescent="0.25">
      <c r="A79" s="57">
        <v>45840</v>
      </c>
      <c r="B79" s="51" t="s">
        <v>88</v>
      </c>
      <c r="C79" s="58">
        <v>0.56944444444444442</v>
      </c>
      <c r="D79" s="58">
        <v>0.57638888888888884</v>
      </c>
      <c r="E79" s="39">
        <f t="shared" si="2"/>
        <v>9.9999999999999645</v>
      </c>
      <c r="F79" s="51" t="s">
        <v>198</v>
      </c>
      <c r="G79" s="51" t="s">
        <v>260</v>
      </c>
      <c r="H79" s="51" t="s">
        <v>44</v>
      </c>
      <c r="I79" s="51" t="s">
        <v>23</v>
      </c>
    </row>
    <row r="80" spans="1:9" x14ac:dyDescent="0.25">
      <c r="A80" s="57">
        <v>45840</v>
      </c>
      <c r="B80" s="51" t="s">
        <v>88</v>
      </c>
      <c r="C80" s="58">
        <v>0.57638888888888884</v>
      </c>
      <c r="D80" s="58">
        <v>0.59027777777777779</v>
      </c>
      <c r="E80" s="39">
        <f t="shared" si="2"/>
        <v>20.000000000000089</v>
      </c>
      <c r="F80" s="51" t="s">
        <v>198</v>
      </c>
      <c r="G80" s="51" t="s">
        <v>261</v>
      </c>
      <c r="H80" s="51" t="s">
        <v>44</v>
      </c>
      <c r="I80" s="51" t="s">
        <v>23</v>
      </c>
    </row>
    <row r="81" spans="1:9" x14ac:dyDescent="0.25">
      <c r="A81" s="57">
        <v>45840</v>
      </c>
      <c r="B81" s="51" t="s">
        <v>88</v>
      </c>
      <c r="C81" s="58">
        <v>0.59027777777777779</v>
      </c>
      <c r="D81" s="58">
        <v>0.60416666666666663</v>
      </c>
      <c r="E81" s="39">
        <f t="shared" si="2"/>
        <v>19.999999999999929</v>
      </c>
      <c r="F81" s="51" t="s">
        <v>198</v>
      </c>
      <c r="G81" s="51" t="s">
        <v>262</v>
      </c>
      <c r="H81" s="51" t="s">
        <v>44</v>
      </c>
      <c r="I81" s="51" t="s">
        <v>23</v>
      </c>
    </row>
    <row r="82" spans="1:9" x14ac:dyDescent="0.25">
      <c r="A82" s="57">
        <v>45840</v>
      </c>
      <c r="B82" s="51" t="s">
        <v>88</v>
      </c>
      <c r="C82" s="58">
        <v>0.60416666666666663</v>
      </c>
      <c r="D82" s="58">
        <v>0.625</v>
      </c>
      <c r="E82" s="39">
        <f t="shared" si="2"/>
        <v>30.000000000000053</v>
      </c>
      <c r="F82" s="51" t="s">
        <v>198</v>
      </c>
      <c r="G82" s="51" t="s">
        <v>263</v>
      </c>
      <c r="H82" s="51" t="s">
        <v>44</v>
      </c>
      <c r="I82" s="51" t="s">
        <v>23</v>
      </c>
    </row>
    <row r="83" spans="1:9" x14ac:dyDescent="0.25">
      <c r="A83" s="57">
        <v>45840</v>
      </c>
      <c r="B83" s="51" t="s">
        <v>88</v>
      </c>
      <c r="C83" s="58">
        <v>0.625</v>
      </c>
      <c r="D83" s="58">
        <v>0.64583333333333337</v>
      </c>
      <c r="E83" s="39">
        <f t="shared" si="2"/>
        <v>30.000000000000053</v>
      </c>
      <c r="F83" s="51" t="s">
        <v>198</v>
      </c>
      <c r="G83" s="51" t="s">
        <v>264</v>
      </c>
      <c r="H83" s="51" t="s">
        <v>44</v>
      </c>
      <c r="I83" s="51" t="s">
        <v>23</v>
      </c>
    </row>
    <row r="84" spans="1:9" x14ac:dyDescent="0.25">
      <c r="A84" s="57">
        <v>45840</v>
      </c>
      <c r="B84" s="51" t="s">
        <v>88</v>
      </c>
      <c r="C84" s="58">
        <v>0.64583333333333337</v>
      </c>
      <c r="D84" s="58">
        <v>0.68055555555555558</v>
      </c>
      <c r="E84" s="39">
        <f t="shared" si="2"/>
        <v>49.999999999999986</v>
      </c>
      <c r="F84" s="51" t="s">
        <v>198</v>
      </c>
      <c r="G84" s="51" t="s">
        <v>265</v>
      </c>
      <c r="H84" s="51" t="s">
        <v>25</v>
      </c>
      <c r="I84" s="51" t="s">
        <v>23</v>
      </c>
    </row>
    <row r="85" spans="1:9" x14ac:dyDescent="0.25">
      <c r="A85" s="35"/>
      <c r="B85" s="53"/>
      <c r="C85" s="35"/>
      <c r="D85" s="35"/>
      <c r="E85" s="35"/>
      <c r="F85" s="53"/>
      <c r="G85" s="35"/>
      <c r="H85" s="35"/>
      <c r="I85" s="35"/>
    </row>
    <row r="86" spans="1:9" x14ac:dyDescent="0.25">
      <c r="A86" s="19" t="s">
        <v>1</v>
      </c>
      <c r="B86" s="19" t="s">
        <v>2</v>
      </c>
      <c r="C86" s="54" t="s">
        <v>3</v>
      </c>
      <c r="D86" s="55"/>
      <c r="E86" s="19" t="s">
        <v>4</v>
      </c>
      <c r="F86" s="19" t="s">
        <v>5</v>
      </c>
      <c r="G86" s="19" t="s">
        <v>6</v>
      </c>
      <c r="H86" s="19" t="s">
        <v>7</v>
      </c>
      <c r="I86" s="19" t="s">
        <v>8</v>
      </c>
    </row>
    <row r="87" spans="1:9" x14ac:dyDescent="0.25">
      <c r="A87" s="56"/>
      <c r="B87" s="56"/>
      <c r="C87" s="51" t="s">
        <v>9</v>
      </c>
      <c r="D87" s="51" t="s">
        <v>10</v>
      </c>
      <c r="E87" s="56"/>
      <c r="F87" s="56"/>
      <c r="G87" s="56"/>
      <c r="H87" s="56"/>
      <c r="I87" s="56"/>
    </row>
    <row r="88" spans="1:9" x14ac:dyDescent="0.25">
      <c r="A88" s="57">
        <v>45841</v>
      </c>
      <c r="B88" s="51" t="s">
        <v>91</v>
      </c>
      <c r="C88" s="58">
        <v>0.25</v>
      </c>
      <c r="D88" s="58">
        <v>0.26041666666666669</v>
      </c>
      <c r="E88" s="39">
        <f t="shared" ref="E88:E114" si="3">(D88-C88)*1440</f>
        <v>15.000000000000027</v>
      </c>
      <c r="F88" s="51" t="s">
        <v>198</v>
      </c>
      <c r="G88" s="51" t="s">
        <v>266</v>
      </c>
      <c r="H88" s="51"/>
      <c r="I88" s="51" t="s">
        <v>23</v>
      </c>
    </row>
    <row r="89" spans="1:9" x14ac:dyDescent="0.25">
      <c r="A89" s="57">
        <v>45841</v>
      </c>
      <c r="B89" s="51" t="s">
        <v>91</v>
      </c>
      <c r="C89" s="58">
        <v>0.26041666666666669</v>
      </c>
      <c r="D89" s="58">
        <v>0.2673611111111111</v>
      </c>
      <c r="E89" s="39">
        <f t="shared" si="3"/>
        <v>9.9999999999999645</v>
      </c>
      <c r="F89" s="51" t="s">
        <v>198</v>
      </c>
      <c r="G89" s="51" t="s">
        <v>267</v>
      </c>
      <c r="H89" s="51"/>
      <c r="I89" s="51"/>
    </row>
    <row r="90" spans="1:9" x14ac:dyDescent="0.25">
      <c r="A90" s="57">
        <v>45841</v>
      </c>
      <c r="B90" s="51" t="s">
        <v>91</v>
      </c>
      <c r="C90" s="58">
        <v>0.2673611111111111</v>
      </c>
      <c r="D90" s="58">
        <v>0.27430555555555558</v>
      </c>
      <c r="E90" s="39">
        <f t="shared" si="3"/>
        <v>10.000000000000044</v>
      </c>
      <c r="F90" s="51" t="s">
        <v>198</v>
      </c>
      <c r="G90" s="51" t="s">
        <v>218</v>
      </c>
      <c r="H90" s="51"/>
      <c r="I90" s="51" t="s">
        <v>23</v>
      </c>
    </row>
    <row r="91" spans="1:9" x14ac:dyDescent="0.25">
      <c r="A91" s="57">
        <v>45841</v>
      </c>
      <c r="B91" s="51" t="s">
        <v>91</v>
      </c>
      <c r="C91" s="58">
        <v>0.27430555555555558</v>
      </c>
      <c r="D91" s="58">
        <v>0.28125</v>
      </c>
      <c r="E91" s="39">
        <f t="shared" si="3"/>
        <v>9.9999999999999645</v>
      </c>
      <c r="F91" s="51" t="s">
        <v>198</v>
      </c>
      <c r="G91" s="51" t="s">
        <v>268</v>
      </c>
      <c r="H91" s="51"/>
      <c r="I91" s="51" t="s">
        <v>23</v>
      </c>
    </row>
    <row r="92" spans="1:9" x14ac:dyDescent="0.25">
      <c r="A92" s="57">
        <v>45841</v>
      </c>
      <c r="B92" s="51" t="s">
        <v>91</v>
      </c>
      <c r="C92" s="58">
        <v>0.28125</v>
      </c>
      <c r="D92" s="58">
        <v>0.28819444444444442</v>
      </c>
      <c r="E92" s="39">
        <f t="shared" si="3"/>
        <v>9.9999999999999645</v>
      </c>
      <c r="F92" s="51" t="s">
        <v>198</v>
      </c>
      <c r="G92" s="51" t="s">
        <v>269</v>
      </c>
      <c r="H92" s="51"/>
      <c r="I92" s="51" t="s">
        <v>23</v>
      </c>
    </row>
    <row r="93" spans="1:9" x14ac:dyDescent="0.25">
      <c r="A93" s="57">
        <v>45841</v>
      </c>
      <c r="B93" s="51" t="s">
        <v>91</v>
      </c>
      <c r="C93" s="58">
        <v>0.28819444444444442</v>
      </c>
      <c r="D93" s="58">
        <v>0.30208333333333331</v>
      </c>
      <c r="E93" s="39">
        <f t="shared" si="3"/>
        <v>20.000000000000007</v>
      </c>
      <c r="F93" s="51" t="s">
        <v>198</v>
      </c>
      <c r="G93" s="51" t="s">
        <v>270</v>
      </c>
      <c r="H93" s="51"/>
      <c r="I93" s="51" t="s">
        <v>23</v>
      </c>
    </row>
    <row r="94" spans="1:9" x14ac:dyDescent="0.25">
      <c r="A94" s="57">
        <v>45841</v>
      </c>
      <c r="B94" s="51" t="s">
        <v>91</v>
      </c>
      <c r="C94" s="58">
        <v>0.30208333333333331</v>
      </c>
      <c r="D94" s="58">
        <v>0.3263888888888889</v>
      </c>
      <c r="E94" s="39">
        <f t="shared" si="3"/>
        <v>35.000000000000036</v>
      </c>
      <c r="F94" s="51" t="s">
        <v>198</v>
      </c>
      <c r="G94" s="51" t="s">
        <v>271</v>
      </c>
      <c r="H94" s="51"/>
      <c r="I94" s="51" t="s">
        <v>23</v>
      </c>
    </row>
    <row r="95" spans="1:9" x14ac:dyDescent="0.25">
      <c r="A95" s="57">
        <v>45841</v>
      </c>
      <c r="B95" s="51" t="s">
        <v>91</v>
      </c>
      <c r="C95" s="58">
        <v>0.3263888888888889</v>
      </c>
      <c r="D95" s="58">
        <v>0.33680555555555558</v>
      </c>
      <c r="E95" s="39">
        <f t="shared" si="3"/>
        <v>15.000000000000027</v>
      </c>
      <c r="F95" s="51" t="s">
        <v>198</v>
      </c>
      <c r="G95" s="51" t="s">
        <v>272</v>
      </c>
      <c r="H95" s="51"/>
      <c r="I95" s="51" t="s">
        <v>23</v>
      </c>
    </row>
    <row r="96" spans="1:9" x14ac:dyDescent="0.25">
      <c r="A96" s="57">
        <v>45841</v>
      </c>
      <c r="B96" s="51" t="s">
        <v>91</v>
      </c>
      <c r="C96" s="58">
        <v>0.33680555555555558</v>
      </c>
      <c r="D96" s="58">
        <v>0.34722222222222221</v>
      </c>
      <c r="E96" s="39">
        <f t="shared" si="3"/>
        <v>14.999999999999947</v>
      </c>
      <c r="F96" s="51" t="s">
        <v>198</v>
      </c>
      <c r="G96" s="51" t="s">
        <v>241</v>
      </c>
      <c r="H96" s="51"/>
      <c r="I96" s="51" t="s">
        <v>23</v>
      </c>
    </row>
    <row r="97" spans="1:9" x14ac:dyDescent="0.25">
      <c r="A97" s="57">
        <v>45841</v>
      </c>
      <c r="B97" s="51" t="s">
        <v>91</v>
      </c>
      <c r="C97" s="58">
        <v>0.34722222222222221</v>
      </c>
      <c r="D97" s="58">
        <v>0.36180555555555555</v>
      </c>
      <c r="E97" s="39">
        <f t="shared" si="3"/>
        <v>21.000000000000007</v>
      </c>
      <c r="F97" s="51" t="s">
        <v>198</v>
      </c>
      <c r="G97" s="51" t="s">
        <v>273</v>
      </c>
      <c r="H97" s="51"/>
      <c r="I97" s="51" t="s">
        <v>23</v>
      </c>
    </row>
    <row r="98" spans="1:9" x14ac:dyDescent="0.25">
      <c r="A98" s="57">
        <v>45841</v>
      </c>
      <c r="B98" s="51" t="s">
        <v>91</v>
      </c>
      <c r="C98" s="58">
        <v>0.36180555555555555</v>
      </c>
      <c r="D98" s="58">
        <v>0.38263888888888886</v>
      </c>
      <c r="E98" s="39">
        <f t="shared" si="3"/>
        <v>29.999999999999972</v>
      </c>
      <c r="F98" s="51" t="s">
        <v>198</v>
      </c>
      <c r="G98" s="51" t="s">
        <v>274</v>
      </c>
      <c r="H98" s="51"/>
      <c r="I98" s="51" t="s">
        <v>23</v>
      </c>
    </row>
    <row r="99" spans="1:9" x14ac:dyDescent="0.25">
      <c r="A99" s="57">
        <v>45841</v>
      </c>
      <c r="B99" s="51" t="s">
        <v>91</v>
      </c>
      <c r="C99" s="58">
        <v>0.38263888888888886</v>
      </c>
      <c r="D99" s="58">
        <v>0.4236111111111111</v>
      </c>
      <c r="E99" s="39">
        <f t="shared" si="3"/>
        <v>59.000000000000028</v>
      </c>
      <c r="F99" s="51" t="s">
        <v>198</v>
      </c>
      <c r="G99" s="51" t="s">
        <v>275</v>
      </c>
      <c r="H99" s="51"/>
      <c r="I99" s="51" t="s">
        <v>23</v>
      </c>
    </row>
    <row r="100" spans="1:9" x14ac:dyDescent="0.25">
      <c r="A100" s="57">
        <v>45841</v>
      </c>
      <c r="B100" s="51" t="s">
        <v>91</v>
      </c>
      <c r="C100" s="58">
        <v>0.4236111111111111</v>
      </c>
      <c r="D100" s="58">
        <v>0.43055555555555558</v>
      </c>
      <c r="E100" s="39">
        <f t="shared" si="3"/>
        <v>10.000000000000044</v>
      </c>
      <c r="F100" s="51" t="s">
        <v>198</v>
      </c>
      <c r="G100" s="51" t="s">
        <v>225</v>
      </c>
      <c r="H100" s="51"/>
      <c r="I100" s="51" t="s">
        <v>23</v>
      </c>
    </row>
    <row r="101" spans="1:9" x14ac:dyDescent="0.25">
      <c r="A101" s="57">
        <v>45841</v>
      </c>
      <c r="B101" s="51" t="s">
        <v>91</v>
      </c>
      <c r="C101" s="58">
        <v>0.43055555555555558</v>
      </c>
      <c r="D101" s="58">
        <v>0.46527777777777779</v>
      </c>
      <c r="E101" s="39">
        <f t="shared" si="3"/>
        <v>49.999999999999986</v>
      </c>
      <c r="F101" s="51" t="s">
        <v>198</v>
      </c>
      <c r="G101" s="51" t="s">
        <v>276</v>
      </c>
      <c r="H101" s="51"/>
      <c r="I101" s="51" t="s">
        <v>23</v>
      </c>
    </row>
    <row r="102" spans="1:9" x14ac:dyDescent="0.25">
      <c r="A102" s="57">
        <v>45841</v>
      </c>
      <c r="B102" s="51" t="s">
        <v>91</v>
      </c>
      <c r="C102" s="58">
        <v>0.46527777777777779</v>
      </c>
      <c r="D102" s="58">
        <v>0.4861111111111111</v>
      </c>
      <c r="E102" s="39">
        <f t="shared" si="3"/>
        <v>29.999999999999972</v>
      </c>
      <c r="F102" s="51" t="s">
        <v>198</v>
      </c>
      <c r="G102" s="51" t="s">
        <v>277</v>
      </c>
      <c r="H102" s="51"/>
      <c r="I102" s="51" t="s">
        <v>23</v>
      </c>
    </row>
    <row r="103" spans="1:9" x14ac:dyDescent="0.25">
      <c r="A103" s="57">
        <v>45841</v>
      </c>
      <c r="B103" s="51" t="s">
        <v>91</v>
      </c>
      <c r="C103" s="58">
        <v>0.4861111111111111</v>
      </c>
      <c r="D103" s="58">
        <v>0.51527777777777772</v>
      </c>
      <c r="E103" s="39">
        <f t="shared" si="3"/>
        <v>41.999999999999929</v>
      </c>
      <c r="F103" s="51" t="s">
        <v>198</v>
      </c>
      <c r="G103" s="51" t="s">
        <v>232</v>
      </c>
      <c r="H103" s="51"/>
      <c r="I103" s="51" t="s">
        <v>23</v>
      </c>
    </row>
    <row r="104" spans="1:9" x14ac:dyDescent="0.25">
      <c r="A104" s="57">
        <v>45841</v>
      </c>
      <c r="B104" s="51" t="s">
        <v>91</v>
      </c>
      <c r="C104" s="58">
        <v>0.51527777777777772</v>
      </c>
      <c r="D104" s="58">
        <v>0.54722222222222228</v>
      </c>
      <c r="E104" s="39">
        <f t="shared" si="3"/>
        <v>46.000000000000156</v>
      </c>
      <c r="F104" s="51" t="s">
        <v>198</v>
      </c>
      <c r="G104" s="51" t="s">
        <v>278</v>
      </c>
      <c r="H104" s="51"/>
      <c r="I104" s="51" t="s">
        <v>23</v>
      </c>
    </row>
    <row r="105" spans="1:9" x14ac:dyDescent="0.25">
      <c r="A105" s="57">
        <v>45841</v>
      </c>
      <c r="B105" s="51" t="s">
        <v>91</v>
      </c>
      <c r="C105" s="58">
        <v>0.54722222222222228</v>
      </c>
      <c r="D105" s="58">
        <v>0.5625</v>
      </c>
      <c r="E105" s="39">
        <f t="shared" si="3"/>
        <v>21.999999999999922</v>
      </c>
      <c r="F105" s="51" t="s">
        <v>198</v>
      </c>
      <c r="G105" s="51" t="s">
        <v>279</v>
      </c>
      <c r="H105" s="51"/>
      <c r="I105" s="51" t="s">
        <v>23</v>
      </c>
    </row>
    <row r="106" spans="1:9" x14ac:dyDescent="0.25">
      <c r="A106" s="57">
        <v>45841</v>
      </c>
      <c r="B106" s="51" t="s">
        <v>91</v>
      </c>
      <c r="C106" s="58">
        <v>0.5625</v>
      </c>
      <c r="D106" s="58">
        <v>0.57638888888888884</v>
      </c>
      <c r="E106" s="39">
        <f t="shared" si="3"/>
        <v>19.999999999999929</v>
      </c>
      <c r="F106" s="51" t="s">
        <v>198</v>
      </c>
      <c r="G106" s="51" t="s">
        <v>280</v>
      </c>
      <c r="H106" s="51"/>
      <c r="I106" s="51" t="s">
        <v>23</v>
      </c>
    </row>
    <row r="107" spans="1:9" x14ac:dyDescent="0.25">
      <c r="A107" s="57">
        <v>45841</v>
      </c>
      <c r="B107" s="51" t="s">
        <v>91</v>
      </c>
      <c r="C107" s="58">
        <v>0.57638888888888884</v>
      </c>
      <c r="D107" s="58">
        <v>0.58333333333333337</v>
      </c>
      <c r="E107" s="39">
        <f t="shared" si="3"/>
        <v>10.000000000000124</v>
      </c>
      <c r="F107" s="51" t="s">
        <v>198</v>
      </c>
      <c r="G107" s="51" t="s">
        <v>281</v>
      </c>
      <c r="H107" s="51"/>
      <c r="I107" s="51" t="s">
        <v>23</v>
      </c>
    </row>
    <row r="108" spans="1:9" x14ac:dyDescent="0.25">
      <c r="A108" s="57">
        <v>45841</v>
      </c>
      <c r="B108" s="51" t="s">
        <v>91</v>
      </c>
      <c r="C108" s="58">
        <v>0.58333333333333337</v>
      </c>
      <c r="D108" s="58">
        <v>0.61458333333333337</v>
      </c>
      <c r="E108" s="39">
        <f t="shared" si="3"/>
        <v>45</v>
      </c>
      <c r="F108" s="51" t="s">
        <v>198</v>
      </c>
      <c r="G108" s="51" t="s">
        <v>282</v>
      </c>
      <c r="H108" s="51"/>
      <c r="I108" s="51" t="s">
        <v>23</v>
      </c>
    </row>
    <row r="109" spans="1:9" x14ac:dyDescent="0.25">
      <c r="A109" s="57">
        <v>45841</v>
      </c>
      <c r="B109" s="51" t="s">
        <v>91</v>
      </c>
      <c r="C109" s="58">
        <v>0.61458333333333337</v>
      </c>
      <c r="D109" s="58">
        <v>0.62152777777777779</v>
      </c>
      <c r="E109" s="39">
        <f t="shared" si="3"/>
        <v>9.9999999999999645</v>
      </c>
      <c r="F109" s="51" t="s">
        <v>198</v>
      </c>
      <c r="G109" s="51" t="s">
        <v>283</v>
      </c>
      <c r="H109" s="51"/>
      <c r="I109" s="51" t="s">
        <v>23</v>
      </c>
    </row>
    <row r="110" spans="1:9" x14ac:dyDescent="0.25">
      <c r="A110" s="57">
        <v>45841</v>
      </c>
      <c r="B110" s="51" t="s">
        <v>91</v>
      </c>
      <c r="C110" s="58">
        <v>0.62152777777777779</v>
      </c>
      <c r="D110" s="58">
        <v>0.63194444444444442</v>
      </c>
      <c r="E110" s="39">
        <f t="shared" si="3"/>
        <v>14.999999999999947</v>
      </c>
      <c r="F110" s="51" t="s">
        <v>198</v>
      </c>
      <c r="G110" s="51" t="s">
        <v>284</v>
      </c>
      <c r="H110" s="51"/>
      <c r="I110" s="51" t="s">
        <v>23</v>
      </c>
    </row>
    <row r="111" spans="1:9" x14ac:dyDescent="0.25">
      <c r="A111" s="57">
        <v>45841</v>
      </c>
      <c r="B111" s="51" t="s">
        <v>91</v>
      </c>
      <c r="C111" s="58">
        <v>0.63194444444444442</v>
      </c>
      <c r="D111" s="58">
        <v>0.63888888888888884</v>
      </c>
      <c r="E111" s="39">
        <f t="shared" si="3"/>
        <v>9.9999999999999645</v>
      </c>
      <c r="F111" s="51" t="s">
        <v>198</v>
      </c>
      <c r="G111" s="51" t="s">
        <v>285</v>
      </c>
      <c r="H111" s="51"/>
      <c r="I111" s="51" t="s">
        <v>23</v>
      </c>
    </row>
    <row r="112" spans="1:9" x14ac:dyDescent="0.25">
      <c r="A112" s="57">
        <v>45841</v>
      </c>
      <c r="B112" s="51" t="s">
        <v>91</v>
      </c>
      <c r="C112" s="58">
        <v>0.63888888888888884</v>
      </c>
      <c r="D112" s="58">
        <v>0.66666666666666663</v>
      </c>
      <c r="E112" s="39">
        <f t="shared" si="3"/>
        <v>40.000000000000014</v>
      </c>
      <c r="F112" s="51" t="s">
        <v>198</v>
      </c>
      <c r="G112" s="51" t="s">
        <v>286</v>
      </c>
      <c r="H112" s="51"/>
      <c r="I112" s="51" t="s">
        <v>23</v>
      </c>
    </row>
    <row r="113" spans="1:9" x14ac:dyDescent="0.25">
      <c r="A113" s="57">
        <v>45841</v>
      </c>
      <c r="B113" s="51" t="s">
        <v>91</v>
      </c>
      <c r="C113" s="58">
        <v>0.66666666666666663</v>
      </c>
      <c r="D113" s="58">
        <v>0.6875</v>
      </c>
      <c r="E113" s="39">
        <f t="shared" si="3"/>
        <v>30.000000000000053</v>
      </c>
      <c r="F113" s="51" t="s">
        <v>198</v>
      </c>
      <c r="G113" s="51" t="s">
        <v>287</v>
      </c>
      <c r="H113" s="51"/>
      <c r="I113" s="51" t="s">
        <v>23</v>
      </c>
    </row>
    <row r="114" spans="1:9" x14ac:dyDescent="0.25">
      <c r="A114" s="57">
        <v>45841</v>
      </c>
      <c r="B114" s="51" t="s">
        <v>91</v>
      </c>
      <c r="C114" s="58">
        <v>0.6875</v>
      </c>
      <c r="D114" s="58">
        <v>0.70833333333333337</v>
      </c>
      <c r="E114" s="39">
        <f t="shared" si="3"/>
        <v>30.000000000000053</v>
      </c>
      <c r="F114" s="51" t="s">
        <v>198</v>
      </c>
      <c r="G114" s="51" t="s">
        <v>288</v>
      </c>
      <c r="H114" s="51"/>
      <c r="I114" s="51" t="s">
        <v>23</v>
      </c>
    </row>
    <row r="115" spans="1:9" x14ac:dyDescent="0.25">
      <c r="A115" s="35"/>
      <c r="B115" s="53"/>
      <c r="C115" s="35"/>
      <c r="D115" s="35"/>
      <c r="E115" s="35"/>
      <c r="F115" s="53"/>
      <c r="G115" s="35"/>
      <c r="H115" s="35"/>
      <c r="I115" s="35"/>
    </row>
    <row r="116" spans="1:9" x14ac:dyDescent="0.25">
      <c r="A116" s="19" t="s">
        <v>1</v>
      </c>
      <c r="B116" s="19" t="s">
        <v>2</v>
      </c>
      <c r="C116" s="54" t="s">
        <v>3</v>
      </c>
      <c r="D116" s="55"/>
      <c r="E116" s="19" t="s">
        <v>4</v>
      </c>
      <c r="F116" s="19" t="s">
        <v>5</v>
      </c>
      <c r="G116" s="19" t="s">
        <v>6</v>
      </c>
      <c r="H116" s="19" t="s">
        <v>7</v>
      </c>
      <c r="I116" s="19" t="s">
        <v>8</v>
      </c>
    </row>
    <row r="117" spans="1:9" x14ac:dyDescent="0.25">
      <c r="A117" s="56"/>
      <c r="B117" s="56"/>
      <c r="C117" s="51" t="s">
        <v>9</v>
      </c>
      <c r="D117" s="51" t="s">
        <v>10</v>
      </c>
      <c r="E117" s="56"/>
      <c r="F117" s="56"/>
      <c r="G117" s="56"/>
      <c r="H117" s="56"/>
      <c r="I117" s="56"/>
    </row>
    <row r="118" spans="1:9" x14ac:dyDescent="0.25">
      <c r="A118" s="57">
        <v>45842</v>
      </c>
      <c r="B118" s="51" t="s">
        <v>289</v>
      </c>
      <c r="C118" s="58">
        <v>0.25</v>
      </c>
      <c r="D118" s="58">
        <v>0.26041666666666669</v>
      </c>
      <c r="E118" s="39">
        <f t="shared" ref="E118:E129" si="4">(D118-C118)*1440</f>
        <v>15.000000000000027</v>
      </c>
      <c r="F118" s="51" t="s">
        <v>198</v>
      </c>
      <c r="G118" s="51" t="s">
        <v>290</v>
      </c>
      <c r="H118" s="51"/>
      <c r="I118" s="51" t="s">
        <v>23</v>
      </c>
    </row>
    <row r="119" spans="1:9" x14ac:dyDescent="0.25">
      <c r="A119" s="57">
        <v>45842</v>
      </c>
      <c r="B119" s="51" t="s">
        <v>289</v>
      </c>
      <c r="C119" s="58">
        <v>0.26041666666666669</v>
      </c>
      <c r="D119" s="58">
        <v>0.2673611111111111</v>
      </c>
      <c r="E119" s="39">
        <f t="shared" si="4"/>
        <v>9.9999999999999645</v>
      </c>
      <c r="F119" s="51" t="s">
        <v>198</v>
      </c>
      <c r="G119" s="51" t="s">
        <v>291</v>
      </c>
      <c r="H119" s="51"/>
      <c r="I119" s="51"/>
    </row>
    <row r="120" spans="1:9" x14ac:dyDescent="0.25">
      <c r="A120" s="57">
        <v>45842</v>
      </c>
      <c r="B120" s="51" t="s">
        <v>289</v>
      </c>
      <c r="C120" s="58">
        <v>0.2673611111111111</v>
      </c>
      <c r="D120" s="58">
        <v>0.27777777777777779</v>
      </c>
      <c r="E120" s="39">
        <f t="shared" si="4"/>
        <v>15.000000000000027</v>
      </c>
      <c r="F120" s="51" t="s">
        <v>198</v>
      </c>
      <c r="G120" s="51" t="s">
        <v>218</v>
      </c>
      <c r="H120" s="51"/>
      <c r="I120" s="51" t="s">
        <v>23</v>
      </c>
    </row>
    <row r="121" spans="1:9" x14ac:dyDescent="0.25">
      <c r="A121" s="57">
        <v>45842</v>
      </c>
      <c r="B121" s="51" t="s">
        <v>289</v>
      </c>
      <c r="C121" s="58">
        <v>0.27777777777777779</v>
      </c>
      <c r="D121" s="58">
        <v>0.2986111111111111</v>
      </c>
      <c r="E121" s="39">
        <f t="shared" si="4"/>
        <v>29.999999999999972</v>
      </c>
      <c r="F121" s="51" t="s">
        <v>198</v>
      </c>
      <c r="G121" s="51" t="s">
        <v>292</v>
      </c>
      <c r="H121" s="51"/>
      <c r="I121" s="51" t="s">
        <v>23</v>
      </c>
    </row>
    <row r="122" spans="1:9" x14ac:dyDescent="0.25">
      <c r="A122" s="57">
        <v>45842</v>
      </c>
      <c r="B122" s="51" t="s">
        <v>289</v>
      </c>
      <c r="C122" s="58">
        <v>0.2986111111111111</v>
      </c>
      <c r="D122" s="58">
        <v>0.30555555555555558</v>
      </c>
      <c r="E122" s="39">
        <f t="shared" si="4"/>
        <v>10.000000000000044</v>
      </c>
      <c r="F122" s="51" t="s">
        <v>198</v>
      </c>
      <c r="G122" s="51" t="s">
        <v>293</v>
      </c>
      <c r="H122" s="51"/>
      <c r="I122" s="51" t="s">
        <v>23</v>
      </c>
    </row>
    <row r="123" spans="1:9" x14ac:dyDescent="0.25">
      <c r="A123" s="57">
        <v>45842</v>
      </c>
      <c r="B123" s="51" t="s">
        <v>289</v>
      </c>
      <c r="C123" s="58">
        <v>0.30555555555555558</v>
      </c>
      <c r="D123" s="58">
        <v>0.33333333333333331</v>
      </c>
      <c r="E123" s="39">
        <f t="shared" si="4"/>
        <v>39.999999999999936</v>
      </c>
      <c r="F123" s="51" t="s">
        <v>198</v>
      </c>
      <c r="G123" s="51" t="s">
        <v>294</v>
      </c>
      <c r="H123" s="51"/>
      <c r="I123" s="51" t="s">
        <v>23</v>
      </c>
    </row>
    <row r="124" spans="1:9" x14ac:dyDescent="0.25">
      <c r="A124" s="57">
        <v>45842</v>
      </c>
      <c r="B124" s="51" t="s">
        <v>289</v>
      </c>
      <c r="C124" s="58">
        <v>0.33333333333333331</v>
      </c>
      <c r="D124" s="58">
        <v>0.35416666666666669</v>
      </c>
      <c r="E124" s="39">
        <f t="shared" si="4"/>
        <v>30.000000000000053</v>
      </c>
      <c r="F124" s="51" t="s">
        <v>198</v>
      </c>
      <c r="G124" s="51" t="s">
        <v>295</v>
      </c>
      <c r="H124" s="51"/>
      <c r="I124" s="51" t="s">
        <v>23</v>
      </c>
    </row>
    <row r="125" spans="1:9" x14ac:dyDescent="0.25">
      <c r="A125" s="57">
        <v>45842</v>
      </c>
      <c r="B125" s="51" t="s">
        <v>289</v>
      </c>
      <c r="C125" s="58">
        <v>0.35416666666666669</v>
      </c>
      <c r="D125" s="58">
        <v>0.38611111111111113</v>
      </c>
      <c r="E125" s="39">
        <f t="shared" si="4"/>
        <v>46</v>
      </c>
      <c r="F125" s="51" t="s">
        <v>198</v>
      </c>
      <c r="G125" s="51" t="s">
        <v>296</v>
      </c>
      <c r="H125" s="51"/>
      <c r="I125" s="51" t="s">
        <v>23</v>
      </c>
    </row>
    <row r="126" spans="1:9" x14ac:dyDescent="0.25">
      <c r="A126" s="57">
        <v>45842</v>
      </c>
      <c r="B126" s="51" t="s">
        <v>289</v>
      </c>
      <c r="C126" s="58">
        <v>0.38611111111111113</v>
      </c>
      <c r="D126" s="58">
        <v>0.39930555555555558</v>
      </c>
      <c r="E126" s="39">
        <f t="shared" si="4"/>
        <v>19.000000000000014</v>
      </c>
      <c r="F126" s="51" t="s">
        <v>198</v>
      </c>
      <c r="G126" s="51" t="s">
        <v>297</v>
      </c>
      <c r="H126" s="51"/>
      <c r="I126" s="51" t="s">
        <v>23</v>
      </c>
    </row>
    <row r="127" spans="1:9" x14ac:dyDescent="0.25">
      <c r="A127" s="57">
        <v>45842</v>
      </c>
      <c r="B127" s="51" t="s">
        <v>289</v>
      </c>
      <c r="C127" s="58">
        <v>0.39930555555555558</v>
      </c>
      <c r="D127" s="58">
        <v>0.4236111111111111</v>
      </c>
      <c r="E127" s="39">
        <f t="shared" si="4"/>
        <v>34.999999999999957</v>
      </c>
      <c r="F127" s="51" t="s">
        <v>198</v>
      </c>
      <c r="G127" s="51" t="s">
        <v>298</v>
      </c>
      <c r="H127" s="51"/>
      <c r="I127" s="51" t="s">
        <v>23</v>
      </c>
    </row>
    <row r="128" spans="1:9" x14ac:dyDescent="0.25">
      <c r="A128" s="57">
        <v>45842</v>
      </c>
      <c r="B128" s="51" t="s">
        <v>289</v>
      </c>
      <c r="C128" s="58">
        <v>0.4236111111111111</v>
      </c>
      <c r="D128" s="58">
        <v>0.44513888888888886</v>
      </c>
      <c r="E128" s="39">
        <f t="shared" si="4"/>
        <v>30.999999999999972</v>
      </c>
      <c r="F128" s="51" t="s">
        <v>198</v>
      </c>
      <c r="G128" s="51" t="s">
        <v>299</v>
      </c>
      <c r="H128" s="51"/>
      <c r="I128" s="51" t="s">
        <v>23</v>
      </c>
    </row>
    <row r="129" spans="1:9" x14ac:dyDescent="0.25">
      <c r="A129" s="57">
        <v>45842</v>
      </c>
      <c r="B129" s="51" t="s">
        <v>289</v>
      </c>
      <c r="C129" s="58">
        <v>0.44513888888888886</v>
      </c>
      <c r="D129" s="58">
        <v>0.46527777777777779</v>
      </c>
      <c r="E129" s="39">
        <f t="shared" si="4"/>
        <v>29.000000000000057</v>
      </c>
      <c r="F129" s="51" t="s">
        <v>198</v>
      </c>
      <c r="G129" s="51" t="s">
        <v>300</v>
      </c>
      <c r="H129" s="51"/>
      <c r="I129" s="51" t="s">
        <v>23</v>
      </c>
    </row>
    <row r="130" spans="1:9" x14ac:dyDescent="0.25">
      <c r="A130" s="57">
        <v>45842</v>
      </c>
      <c r="B130" s="51" t="s">
        <v>289</v>
      </c>
      <c r="C130" s="58">
        <v>0.46527777777777779</v>
      </c>
      <c r="D130" s="58">
        <v>0.48958333333333331</v>
      </c>
      <c r="E130" s="39">
        <f t="shared" ref="E130:E138" si="5">(D131-C131)*1440</f>
        <v>74.999999999999972</v>
      </c>
      <c r="F130" s="51" t="s">
        <v>198</v>
      </c>
      <c r="G130" s="51" t="s">
        <v>301</v>
      </c>
      <c r="H130" s="51"/>
      <c r="I130" s="51" t="s">
        <v>23</v>
      </c>
    </row>
    <row r="131" spans="1:9" x14ac:dyDescent="0.25">
      <c r="A131" s="57">
        <v>45842</v>
      </c>
      <c r="B131" s="51" t="s">
        <v>289</v>
      </c>
      <c r="C131" s="58">
        <v>0.48958333333333331</v>
      </c>
      <c r="D131" s="58">
        <v>0.54166666666666663</v>
      </c>
      <c r="E131" s="39">
        <f t="shared" si="5"/>
        <v>35.000000000000036</v>
      </c>
      <c r="F131" s="51" t="s">
        <v>198</v>
      </c>
      <c r="G131" s="51" t="s">
        <v>302</v>
      </c>
      <c r="H131" s="51"/>
      <c r="I131" s="51" t="s">
        <v>23</v>
      </c>
    </row>
    <row r="132" spans="1:9" x14ac:dyDescent="0.25">
      <c r="A132" s="57">
        <v>45842</v>
      </c>
      <c r="B132" s="51" t="s">
        <v>289</v>
      </c>
      <c r="C132" s="58">
        <v>0.54166666666666663</v>
      </c>
      <c r="D132" s="58">
        <v>0.56597222222222221</v>
      </c>
      <c r="E132" s="39">
        <f t="shared" si="5"/>
        <v>20.000000000000089</v>
      </c>
      <c r="F132" s="51" t="s">
        <v>198</v>
      </c>
      <c r="G132" s="51" t="s">
        <v>303</v>
      </c>
      <c r="H132" s="51"/>
      <c r="I132" s="51" t="s">
        <v>23</v>
      </c>
    </row>
    <row r="133" spans="1:9" x14ac:dyDescent="0.25">
      <c r="A133" s="57">
        <v>45842</v>
      </c>
      <c r="B133" s="51" t="s">
        <v>289</v>
      </c>
      <c r="C133" s="58">
        <v>0.56597222222222221</v>
      </c>
      <c r="D133" s="58">
        <v>0.57986111111111116</v>
      </c>
      <c r="E133" s="39">
        <f t="shared" si="5"/>
        <v>14.999999999999947</v>
      </c>
      <c r="F133" s="51" t="s">
        <v>198</v>
      </c>
      <c r="G133" s="51" t="s">
        <v>304</v>
      </c>
      <c r="H133" s="51"/>
      <c r="I133" s="51" t="s">
        <v>23</v>
      </c>
    </row>
    <row r="134" spans="1:9" x14ac:dyDescent="0.25">
      <c r="A134" s="57">
        <v>45842</v>
      </c>
      <c r="B134" s="51" t="s">
        <v>289</v>
      </c>
      <c r="C134" s="58">
        <v>0.57986111111111116</v>
      </c>
      <c r="D134" s="58">
        <v>0.59027777777777779</v>
      </c>
      <c r="E134" s="39">
        <f t="shared" si="5"/>
        <v>49.999999999999986</v>
      </c>
      <c r="F134" s="51" t="s">
        <v>198</v>
      </c>
      <c r="G134" s="51" t="s">
        <v>305</v>
      </c>
      <c r="H134" s="51"/>
      <c r="I134" s="51" t="s">
        <v>23</v>
      </c>
    </row>
    <row r="135" spans="1:9" x14ac:dyDescent="0.25">
      <c r="A135" s="57">
        <v>45842</v>
      </c>
      <c r="B135" s="51" t="s">
        <v>289</v>
      </c>
      <c r="C135" s="58">
        <v>0.59027777777777779</v>
      </c>
      <c r="D135" s="58">
        <v>0.625</v>
      </c>
      <c r="E135" s="39">
        <f t="shared" si="5"/>
        <v>14.999999999999947</v>
      </c>
      <c r="F135" s="51" t="s">
        <v>198</v>
      </c>
      <c r="G135" s="51" t="s">
        <v>306</v>
      </c>
      <c r="H135" s="51"/>
      <c r="I135" s="51" t="s">
        <v>23</v>
      </c>
    </row>
    <row r="136" spans="1:9" x14ac:dyDescent="0.25">
      <c r="A136" s="57">
        <v>45842</v>
      </c>
      <c r="B136" s="51" t="s">
        <v>289</v>
      </c>
      <c r="C136" s="58">
        <v>0.625</v>
      </c>
      <c r="D136" s="58">
        <v>0.63541666666666663</v>
      </c>
      <c r="E136" s="39">
        <f t="shared" si="5"/>
        <v>15.000000000000107</v>
      </c>
      <c r="F136" s="51" t="s">
        <v>198</v>
      </c>
      <c r="G136" s="51" t="s">
        <v>307</v>
      </c>
      <c r="H136" s="51"/>
      <c r="I136" s="51" t="s">
        <v>23</v>
      </c>
    </row>
    <row r="137" spans="1:9" x14ac:dyDescent="0.25">
      <c r="A137" s="57">
        <v>45842</v>
      </c>
      <c r="B137" s="51" t="s">
        <v>289</v>
      </c>
      <c r="C137" s="58">
        <v>0.63541666666666663</v>
      </c>
      <c r="D137" s="58">
        <v>0.64583333333333337</v>
      </c>
      <c r="E137" s="39">
        <f t="shared" si="5"/>
        <v>49.999999999999986</v>
      </c>
      <c r="F137" s="51" t="s">
        <v>198</v>
      </c>
      <c r="G137" s="51" t="s">
        <v>308</v>
      </c>
      <c r="H137" s="51"/>
      <c r="I137" s="51" t="s">
        <v>23</v>
      </c>
    </row>
    <row r="138" spans="1:9" x14ac:dyDescent="0.25">
      <c r="A138" s="57">
        <v>45842</v>
      </c>
      <c r="B138" s="51" t="s">
        <v>289</v>
      </c>
      <c r="C138" s="58">
        <v>0.64583333333333337</v>
      </c>
      <c r="D138" s="58">
        <v>0.68055555555555558</v>
      </c>
      <c r="E138" s="39">
        <f t="shared" si="5"/>
        <v>19.999999999999929</v>
      </c>
      <c r="F138" s="51" t="s">
        <v>198</v>
      </c>
      <c r="G138" s="51" t="s">
        <v>309</v>
      </c>
      <c r="H138" s="51"/>
      <c r="I138" s="51" t="s">
        <v>23</v>
      </c>
    </row>
    <row r="139" spans="1:9" x14ac:dyDescent="0.25">
      <c r="A139" s="57">
        <v>45842</v>
      </c>
      <c r="B139" s="51" t="s">
        <v>289</v>
      </c>
      <c r="C139" s="58">
        <v>0.68055555555555558</v>
      </c>
      <c r="D139" s="58">
        <v>0.69444444444444442</v>
      </c>
      <c r="E139" s="39" t="e">
        <f>(#REF!-#REF!)*1440</f>
        <v>#REF!</v>
      </c>
      <c r="F139" s="51" t="s">
        <v>198</v>
      </c>
      <c r="G139" s="51" t="s">
        <v>310</v>
      </c>
      <c r="H139" s="51"/>
      <c r="I139" s="51" t="s">
        <v>23</v>
      </c>
    </row>
    <row r="140" spans="1:9" x14ac:dyDescent="0.25">
      <c r="A140" s="35"/>
      <c r="B140" s="53"/>
      <c r="C140" s="35"/>
      <c r="D140" s="35"/>
      <c r="E140" s="35"/>
      <c r="F140" s="53"/>
      <c r="G140" s="35"/>
      <c r="H140" s="35"/>
      <c r="I140" s="35"/>
    </row>
    <row r="141" spans="1:9" x14ac:dyDescent="0.25">
      <c r="A141" s="19" t="s">
        <v>1</v>
      </c>
      <c r="B141" s="19" t="s">
        <v>2</v>
      </c>
      <c r="C141" s="54" t="s">
        <v>3</v>
      </c>
      <c r="D141" s="55"/>
      <c r="E141" s="19" t="s">
        <v>4</v>
      </c>
      <c r="F141" s="19" t="s">
        <v>5</v>
      </c>
      <c r="G141" s="19" t="s">
        <v>6</v>
      </c>
      <c r="H141" s="19" t="s">
        <v>7</v>
      </c>
      <c r="I141" s="19" t="s">
        <v>8</v>
      </c>
    </row>
    <row r="142" spans="1:9" x14ac:dyDescent="0.25">
      <c r="A142" s="56"/>
      <c r="B142" s="56"/>
      <c r="C142" s="51" t="s">
        <v>9</v>
      </c>
      <c r="D142" s="51" t="s">
        <v>10</v>
      </c>
      <c r="E142" s="56"/>
      <c r="F142" s="56"/>
      <c r="G142" s="56"/>
      <c r="H142" s="56"/>
      <c r="I142" s="56"/>
    </row>
    <row r="143" spans="1:9" x14ac:dyDescent="0.25">
      <c r="A143" s="57">
        <v>45843</v>
      </c>
      <c r="B143" s="51" t="s">
        <v>311</v>
      </c>
      <c r="C143" s="58">
        <v>0.3125</v>
      </c>
      <c r="D143" s="58">
        <v>0.3263888888888889</v>
      </c>
      <c r="E143" s="39">
        <f t="shared" ref="E143:E154" si="6">(D143-C143)*1440</f>
        <v>20.000000000000007</v>
      </c>
      <c r="F143" s="51" t="s">
        <v>198</v>
      </c>
      <c r="G143" s="51" t="s">
        <v>312</v>
      </c>
      <c r="H143" s="51"/>
      <c r="I143" s="51" t="s">
        <v>23</v>
      </c>
    </row>
    <row r="144" spans="1:9" x14ac:dyDescent="0.25">
      <c r="A144" s="57">
        <v>45843</v>
      </c>
      <c r="B144" s="51" t="s">
        <v>311</v>
      </c>
      <c r="C144" s="58">
        <v>0.3263888888888889</v>
      </c>
      <c r="D144" s="58">
        <v>0.33333333333333331</v>
      </c>
      <c r="E144" s="39">
        <f t="shared" si="6"/>
        <v>9.9999999999999645</v>
      </c>
      <c r="F144" s="51" t="s">
        <v>198</v>
      </c>
      <c r="G144" s="51" t="s">
        <v>218</v>
      </c>
      <c r="H144" s="51"/>
      <c r="I144" s="51"/>
    </row>
    <row r="145" spans="1:9" x14ac:dyDescent="0.25">
      <c r="A145" s="57">
        <v>45843</v>
      </c>
      <c r="B145" s="51" t="s">
        <v>311</v>
      </c>
      <c r="C145" s="58">
        <v>0.33333333333333331</v>
      </c>
      <c r="D145" s="58">
        <v>0.34375</v>
      </c>
      <c r="E145" s="39">
        <f t="shared" si="6"/>
        <v>15.000000000000027</v>
      </c>
      <c r="F145" s="51" t="s">
        <v>198</v>
      </c>
      <c r="G145" s="51" t="s">
        <v>300</v>
      </c>
      <c r="H145" s="51"/>
      <c r="I145" s="51" t="s">
        <v>23</v>
      </c>
    </row>
    <row r="146" spans="1:9" x14ac:dyDescent="0.25">
      <c r="A146" s="57">
        <v>45843</v>
      </c>
      <c r="B146" s="51" t="s">
        <v>311</v>
      </c>
      <c r="C146" s="58">
        <v>0.34375</v>
      </c>
      <c r="D146" s="58">
        <v>0.35416666666666669</v>
      </c>
      <c r="E146" s="39">
        <f t="shared" si="6"/>
        <v>15.000000000000027</v>
      </c>
      <c r="F146" s="51" t="s">
        <v>198</v>
      </c>
      <c r="G146" s="51" t="s">
        <v>313</v>
      </c>
      <c r="H146" s="51"/>
      <c r="I146" s="51" t="s">
        <v>23</v>
      </c>
    </row>
    <row r="147" spans="1:9" x14ac:dyDescent="0.25">
      <c r="A147" s="57">
        <v>45843</v>
      </c>
      <c r="B147" s="51" t="s">
        <v>311</v>
      </c>
      <c r="C147" s="58">
        <v>0.35416666666666669</v>
      </c>
      <c r="D147" s="58">
        <v>0.36458333333333331</v>
      </c>
      <c r="E147" s="39">
        <f t="shared" si="6"/>
        <v>14.999999999999947</v>
      </c>
      <c r="F147" s="51" t="s">
        <v>198</v>
      </c>
      <c r="G147" s="51" t="s">
        <v>314</v>
      </c>
      <c r="H147" s="51"/>
      <c r="I147" s="51" t="s">
        <v>23</v>
      </c>
    </row>
    <row r="148" spans="1:9" x14ac:dyDescent="0.25">
      <c r="A148" s="57">
        <v>45843</v>
      </c>
      <c r="B148" s="51" t="s">
        <v>311</v>
      </c>
      <c r="C148" s="58">
        <v>0.36458333333333331</v>
      </c>
      <c r="D148" s="58">
        <v>0.39583333333333331</v>
      </c>
      <c r="E148" s="39">
        <f t="shared" si="6"/>
        <v>45</v>
      </c>
      <c r="F148" s="51" t="s">
        <v>198</v>
      </c>
      <c r="G148" s="62" t="s">
        <v>315</v>
      </c>
      <c r="H148" s="63"/>
      <c r="I148" s="51" t="s">
        <v>23</v>
      </c>
    </row>
    <row r="149" spans="1:9" x14ac:dyDescent="0.25">
      <c r="A149" s="57">
        <v>45843</v>
      </c>
      <c r="B149" s="51" t="s">
        <v>311</v>
      </c>
      <c r="C149" s="58">
        <v>0.39583333333333331</v>
      </c>
      <c r="D149" s="58">
        <v>0.40277777777777779</v>
      </c>
      <c r="E149" s="39">
        <f t="shared" si="6"/>
        <v>10.000000000000044</v>
      </c>
      <c r="F149" s="51" t="s">
        <v>198</v>
      </c>
      <c r="G149" s="51" t="s">
        <v>316</v>
      </c>
      <c r="H149" s="51"/>
      <c r="I149" s="51" t="s">
        <v>23</v>
      </c>
    </row>
    <row r="150" spans="1:9" x14ac:dyDescent="0.25">
      <c r="A150" s="57">
        <v>45843</v>
      </c>
      <c r="B150" s="51" t="s">
        <v>311</v>
      </c>
      <c r="C150" s="58">
        <v>0.40277777777777779</v>
      </c>
      <c r="D150" s="58">
        <v>0.4236111111111111</v>
      </c>
      <c r="E150" s="39">
        <f t="shared" si="6"/>
        <v>29.999999999999972</v>
      </c>
      <c r="F150" s="51" t="s">
        <v>198</v>
      </c>
      <c r="G150" s="51" t="s">
        <v>317</v>
      </c>
      <c r="H150" s="51"/>
      <c r="I150" s="51" t="s">
        <v>23</v>
      </c>
    </row>
    <row r="151" spans="1:9" x14ac:dyDescent="0.25">
      <c r="A151" s="57">
        <v>45843</v>
      </c>
      <c r="B151" s="51" t="s">
        <v>311</v>
      </c>
      <c r="C151" s="58">
        <v>0.4236111111111111</v>
      </c>
      <c r="D151" s="58">
        <v>0.4375</v>
      </c>
      <c r="E151" s="39">
        <f t="shared" si="6"/>
        <v>20.000000000000007</v>
      </c>
      <c r="F151" s="51" t="s">
        <v>198</v>
      </c>
      <c r="G151" s="51" t="s">
        <v>318</v>
      </c>
      <c r="H151" s="51"/>
      <c r="I151" s="51" t="s">
        <v>23</v>
      </c>
    </row>
    <row r="152" spans="1:9" x14ac:dyDescent="0.25">
      <c r="A152" s="57">
        <v>45843</v>
      </c>
      <c r="B152" s="51" t="s">
        <v>311</v>
      </c>
      <c r="C152" s="58">
        <v>0.4375</v>
      </c>
      <c r="D152" s="58">
        <v>0.45833333333333331</v>
      </c>
      <c r="E152" s="39">
        <f t="shared" si="6"/>
        <v>29.999999999999972</v>
      </c>
      <c r="F152" s="51" t="s">
        <v>198</v>
      </c>
      <c r="G152" s="51" t="s">
        <v>319</v>
      </c>
      <c r="H152" s="51"/>
      <c r="I152" s="51" t="s">
        <v>23</v>
      </c>
    </row>
    <row r="153" spans="1:9" x14ac:dyDescent="0.25">
      <c r="A153" s="57">
        <v>45843</v>
      </c>
      <c r="B153" s="51" t="s">
        <v>311</v>
      </c>
      <c r="C153" s="58">
        <v>0.45833333333333331</v>
      </c>
      <c r="D153" s="58">
        <v>0.47916666666666669</v>
      </c>
      <c r="E153" s="39">
        <f t="shared" si="6"/>
        <v>30.000000000000053</v>
      </c>
      <c r="F153" s="51" t="s">
        <v>198</v>
      </c>
      <c r="G153" s="51" t="s">
        <v>320</v>
      </c>
      <c r="H153" s="51"/>
      <c r="I153" s="51" t="s">
        <v>23</v>
      </c>
    </row>
    <row r="154" spans="1:9" x14ac:dyDescent="0.25">
      <c r="A154" s="57">
        <v>45843</v>
      </c>
      <c r="B154" s="51" t="s">
        <v>311</v>
      </c>
      <c r="C154" s="58">
        <v>0.47916666666666669</v>
      </c>
      <c r="D154" s="58">
        <v>0.49305555555555558</v>
      </c>
      <c r="E154" s="39">
        <f t="shared" si="6"/>
        <v>20.000000000000007</v>
      </c>
      <c r="F154" s="51" t="s">
        <v>198</v>
      </c>
      <c r="G154" s="51" t="s">
        <v>321</v>
      </c>
      <c r="H154" s="51"/>
      <c r="I154" s="51" t="s">
        <v>23</v>
      </c>
    </row>
    <row r="155" spans="1:9" x14ac:dyDescent="0.25">
      <c r="A155" s="57">
        <v>45843</v>
      </c>
      <c r="B155" s="51" t="s">
        <v>311</v>
      </c>
      <c r="C155" s="58">
        <v>0.49305555555555558</v>
      </c>
      <c r="D155" s="58">
        <v>0.54166666666666663</v>
      </c>
      <c r="E155" s="39">
        <f>(D156-C156)*1440</f>
        <v>40.000000000000014</v>
      </c>
      <c r="F155" s="51" t="s">
        <v>198</v>
      </c>
      <c r="G155" s="51" t="s">
        <v>322</v>
      </c>
      <c r="H155" s="51"/>
      <c r="I155" s="51" t="s">
        <v>23</v>
      </c>
    </row>
    <row r="156" spans="1:9" x14ac:dyDescent="0.25">
      <c r="A156" s="57">
        <v>45843</v>
      </c>
      <c r="B156" s="51" t="s">
        <v>311</v>
      </c>
      <c r="C156" s="58">
        <v>0.54166666666666663</v>
      </c>
      <c r="D156" s="58">
        <v>0.56944444444444442</v>
      </c>
      <c r="E156" s="39">
        <f>(D157-C157)*1440</f>
        <v>9.9999999999999645</v>
      </c>
      <c r="F156" s="51" t="s">
        <v>198</v>
      </c>
      <c r="G156" s="51" t="s">
        <v>323</v>
      </c>
      <c r="H156" s="51"/>
      <c r="I156" s="51" t="s">
        <v>23</v>
      </c>
    </row>
    <row r="157" spans="1:9" x14ac:dyDescent="0.25">
      <c r="A157" s="57">
        <v>45843</v>
      </c>
      <c r="B157" s="51" t="s">
        <v>311</v>
      </c>
      <c r="C157" s="58">
        <v>0.56944444444444442</v>
      </c>
      <c r="D157" s="58">
        <v>0.57638888888888884</v>
      </c>
      <c r="E157" s="39">
        <f>(D158-C158)*1440</f>
        <v>20.000000000000089</v>
      </c>
      <c r="F157" s="51" t="s">
        <v>198</v>
      </c>
      <c r="G157" s="51" t="s">
        <v>324</v>
      </c>
      <c r="H157" s="51"/>
      <c r="I157" s="51" t="s">
        <v>23</v>
      </c>
    </row>
    <row r="158" spans="1:9" x14ac:dyDescent="0.25">
      <c r="A158" s="57">
        <v>45843</v>
      </c>
      <c r="B158" s="51" t="s">
        <v>311</v>
      </c>
      <c r="C158" s="58">
        <v>0.57638888888888884</v>
      </c>
      <c r="D158" s="58">
        <v>0.59027777777777779</v>
      </c>
      <c r="E158" s="39">
        <f>(D159-C159)*1440</f>
        <v>9.9999999999999645</v>
      </c>
      <c r="F158" s="51" t="s">
        <v>198</v>
      </c>
      <c r="G158" s="51" t="s">
        <v>302</v>
      </c>
      <c r="H158" s="51"/>
      <c r="I158" s="51" t="s">
        <v>23</v>
      </c>
    </row>
    <row r="159" spans="1:9" x14ac:dyDescent="0.25">
      <c r="A159" s="57">
        <v>45843</v>
      </c>
      <c r="B159" s="51" t="s">
        <v>311</v>
      </c>
      <c r="C159" s="58">
        <v>0.59027777777777779</v>
      </c>
      <c r="D159" s="58">
        <v>0.59722222222222221</v>
      </c>
      <c r="E159" s="39">
        <f>(D160-C160)*1440</f>
        <v>20.000000000000089</v>
      </c>
      <c r="F159" s="51" t="s">
        <v>198</v>
      </c>
      <c r="G159" s="51" t="s">
        <v>325</v>
      </c>
      <c r="H159" s="51"/>
      <c r="I159" s="51" t="s">
        <v>23</v>
      </c>
    </row>
    <row r="160" spans="1:9" x14ac:dyDescent="0.25">
      <c r="A160" s="57">
        <v>45843</v>
      </c>
      <c r="B160" s="51" t="s">
        <v>311</v>
      </c>
      <c r="C160" s="58">
        <v>0.59722222222222221</v>
      </c>
      <c r="D160" s="58">
        <v>0.61111111111111116</v>
      </c>
      <c r="E160" s="39">
        <f>(D162-C162)*1440</f>
        <v>14.999999999999947</v>
      </c>
      <c r="F160" s="51" t="s">
        <v>198</v>
      </c>
      <c r="G160" s="51" t="s">
        <v>326</v>
      </c>
      <c r="H160" s="51"/>
      <c r="I160" s="51" t="s">
        <v>23</v>
      </c>
    </row>
    <row r="161" spans="1:9" x14ac:dyDescent="0.25">
      <c r="A161" s="57">
        <v>45843</v>
      </c>
      <c r="B161" s="51" t="s">
        <v>311</v>
      </c>
      <c r="C161" s="58">
        <v>0.61111111111111116</v>
      </c>
      <c r="D161" s="58">
        <v>0.61805555555555558</v>
      </c>
      <c r="E161" s="39">
        <v>10</v>
      </c>
      <c r="F161" s="51" t="s">
        <v>198</v>
      </c>
      <c r="G161" s="51" t="s">
        <v>307</v>
      </c>
      <c r="H161" s="51"/>
      <c r="I161" s="51"/>
    </row>
    <row r="162" spans="1:9" x14ac:dyDescent="0.25">
      <c r="A162" s="57">
        <v>45843</v>
      </c>
      <c r="B162" s="51" t="s">
        <v>311</v>
      </c>
      <c r="C162" s="58">
        <v>0.61805555555555558</v>
      </c>
      <c r="D162" s="58">
        <v>0.62847222222222221</v>
      </c>
      <c r="E162" s="39">
        <f>(D163-C163)*1440</f>
        <v>14.999999999999947</v>
      </c>
      <c r="F162" s="51" t="s">
        <v>198</v>
      </c>
      <c r="G162" s="51" t="s">
        <v>327</v>
      </c>
      <c r="H162" s="51"/>
      <c r="I162" s="51" t="s">
        <v>23</v>
      </c>
    </row>
    <row r="163" spans="1:9" x14ac:dyDescent="0.25">
      <c r="A163" s="57">
        <v>45843</v>
      </c>
      <c r="B163" s="51" t="s">
        <v>311</v>
      </c>
      <c r="C163" s="58">
        <v>0.62847222222222221</v>
      </c>
      <c r="D163" s="58">
        <v>0.63888888888888884</v>
      </c>
      <c r="E163" s="39">
        <f>(D164-C164)*1440</f>
        <v>40.000000000000014</v>
      </c>
      <c r="F163" s="51" t="s">
        <v>198</v>
      </c>
      <c r="G163" s="51" t="s">
        <v>308</v>
      </c>
      <c r="H163" s="51"/>
      <c r="I163" s="51" t="s">
        <v>23</v>
      </c>
    </row>
    <row r="164" spans="1:9" x14ac:dyDescent="0.25">
      <c r="A164" s="57">
        <v>45843</v>
      </c>
      <c r="B164" s="51" t="s">
        <v>311</v>
      </c>
      <c r="C164" s="58">
        <v>0.63888888888888884</v>
      </c>
      <c r="D164" s="58">
        <v>0.66666666666666663</v>
      </c>
      <c r="E164" s="39">
        <f>(D164-C164)*1440</f>
        <v>40.000000000000014</v>
      </c>
      <c r="F164" s="51" t="s">
        <v>198</v>
      </c>
      <c r="G164" s="51" t="s">
        <v>328</v>
      </c>
      <c r="H164" s="51"/>
      <c r="I164" s="51" t="s">
        <v>23</v>
      </c>
    </row>
    <row r="165" spans="1:9" x14ac:dyDescent="0.25">
      <c r="A165" s="35"/>
      <c r="B165" s="53"/>
      <c r="C165" s="35"/>
      <c r="D165" s="35"/>
      <c r="E165" s="35"/>
      <c r="F165" s="53"/>
      <c r="G165" s="35"/>
      <c r="H165" s="35"/>
      <c r="I165" s="35"/>
    </row>
    <row r="166" spans="1:9" s="67" customFormat="1" ht="35.4" x14ac:dyDescent="0.6">
      <c r="A166" s="64" t="s">
        <v>329</v>
      </c>
      <c r="B166" s="65"/>
      <c r="C166" s="65"/>
      <c r="D166" s="65"/>
      <c r="E166" s="65"/>
      <c r="F166" s="65"/>
      <c r="G166" s="65"/>
      <c r="H166" s="65"/>
      <c r="I166" s="66"/>
    </row>
    <row r="167" spans="1:9" x14ac:dyDescent="0.25">
      <c r="A167" s="35"/>
      <c r="B167" s="53"/>
      <c r="C167" s="35"/>
      <c r="D167" s="35"/>
      <c r="E167" s="35"/>
      <c r="F167" s="53"/>
      <c r="G167" s="35"/>
      <c r="H167" s="35"/>
      <c r="I167" s="35"/>
    </row>
    <row r="168" spans="1:9" x14ac:dyDescent="0.25">
      <c r="A168" s="19" t="s">
        <v>1</v>
      </c>
      <c r="B168" s="19" t="s">
        <v>2</v>
      </c>
      <c r="C168" s="54" t="s">
        <v>3</v>
      </c>
      <c r="D168" s="55"/>
      <c r="E168" s="19" t="s">
        <v>4</v>
      </c>
      <c r="F168" s="19" t="s">
        <v>5</v>
      </c>
      <c r="G168" s="19" t="s">
        <v>6</v>
      </c>
      <c r="H168" s="19" t="s">
        <v>7</v>
      </c>
      <c r="I168" s="19" t="s">
        <v>8</v>
      </c>
    </row>
    <row r="169" spans="1:9" x14ac:dyDescent="0.25">
      <c r="A169" s="56"/>
      <c r="B169" s="56"/>
      <c r="C169" s="51" t="s">
        <v>9</v>
      </c>
      <c r="D169" s="51" t="s">
        <v>10</v>
      </c>
      <c r="E169" s="56"/>
      <c r="F169" s="56"/>
      <c r="G169" s="56"/>
      <c r="H169" s="56"/>
      <c r="I169" s="56"/>
    </row>
    <row r="170" spans="1:9" x14ac:dyDescent="0.25">
      <c r="A170" s="57">
        <v>45845</v>
      </c>
      <c r="B170" s="51" t="s">
        <v>12</v>
      </c>
      <c r="C170" s="58">
        <v>0.41666666666666669</v>
      </c>
      <c r="D170" s="58">
        <v>0.42708333333333331</v>
      </c>
      <c r="E170" s="39">
        <f t="shared" ref="E170:E191" si="7">(D170-C170)*1440</f>
        <v>14.999999999999947</v>
      </c>
      <c r="F170" s="51" t="s">
        <v>198</v>
      </c>
      <c r="G170" s="51" t="s">
        <v>330</v>
      </c>
      <c r="H170" s="51"/>
      <c r="I170" s="51" t="s">
        <v>23</v>
      </c>
    </row>
    <row r="171" spans="1:9" x14ac:dyDescent="0.25">
      <c r="A171" s="57">
        <v>45845</v>
      </c>
      <c r="B171" s="51" t="s">
        <v>12</v>
      </c>
      <c r="C171" s="58">
        <v>0.42708333333333331</v>
      </c>
      <c r="D171" s="58">
        <v>0.4375</v>
      </c>
      <c r="E171" s="39">
        <f t="shared" si="7"/>
        <v>15.000000000000027</v>
      </c>
      <c r="F171" s="51" t="s">
        <v>198</v>
      </c>
      <c r="G171" s="51" t="s">
        <v>218</v>
      </c>
      <c r="H171" s="51"/>
      <c r="I171" s="51"/>
    </row>
    <row r="172" spans="1:9" x14ac:dyDescent="0.25">
      <c r="A172" s="57">
        <v>45845</v>
      </c>
      <c r="B172" s="51" t="s">
        <v>12</v>
      </c>
      <c r="C172" s="58">
        <v>0.4375</v>
      </c>
      <c r="D172" s="58">
        <v>0.45833333333333331</v>
      </c>
      <c r="E172" s="39">
        <f t="shared" si="7"/>
        <v>29.999999999999972</v>
      </c>
      <c r="F172" s="51" t="s">
        <v>198</v>
      </c>
      <c r="G172" s="51" t="s">
        <v>331</v>
      </c>
      <c r="H172" s="51"/>
      <c r="I172" s="51" t="s">
        <v>23</v>
      </c>
    </row>
    <row r="173" spans="1:9" x14ac:dyDescent="0.25">
      <c r="A173" s="57">
        <v>45845</v>
      </c>
      <c r="B173" s="51" t="s">
        <v>12</v>
      </c>
      <c r="C173" s="58">
        <v>0.45833333333333331</v>
      </c>
      <c r="D173" s="58">
        <v>0.46875</v>
      </c>
      <c r="E173" s="39">
        <f t="shared" si="7"/>
        <v>15.000000000000027</v>
      </c>
      <c r="F173" s="51" t="s">
        <v>198</v>
      </c>
      <c r="G173" s="51" t="s">
        <v>332</v>
      </c>
      <c r="H173" s="51"/>
      <c r="I173" s="51" t="s">
        <v>23</v>
      </c>
    </row>
    <row r="174" spans="1:9" x14ac:dyDescent="0.25">
      <c r="A174" s="57">
        <v>45845</v>
      </c>
      <c r="B174" s="51" t="s">
        <v>12</v>
      </c>
      <c r="C174" s="58">
        <v>0.46875</v>
      </c>
      <c r="D174" s="58">
        <v>0.47916666666666669</v>
      </c>
      <c r="E174" s="39">
        <f t="shared" si="7"/>
        <v>15.000000000000027</v>
      </c>
      <c r="F174" s="51" t="s">
        <v>198</v>
      </c>
      <c r="G174" s="51" t="s">
        <v>333</v>
      </c>
      <c r="H174" s="51"/>
      <c r="I174" s="51" t="s">
        <v>23</v>
      </c>
    </row>
    <row r="175" spans="1:9" x14ac:dyDescent="0.25">
      <c r="A175" s="57">
        <v>45845</v>
      </c>
      <c r="B175" s="51" t="s">
        <v>12</v>
      </c>
      <c r="C175" s="58">
        <v>0.47916666666666669</v>
      </c>
      <c r="D175" s="58">
        <v>0.4861111111111111</v>
      </c>
      <c r="E175" s="39">
        <f t="shared" si="7"/>
        <v>9.9999999999999645</v>
      </c>
      <c r="F175" s="51" t="s">
        <v>198</v>
      </c>
      <c r="G175" s="62" t="s">
        <v>334</v>
      </c>
      <c r="H175" s="63"/>
      <c r="I175" s="51" t="s">
        <v>23</v>
      </c>
    </row>
    <row r="176" spans="1:9" x14ac:dyDescent="0.25">
      <c r="A176" s="57">
        <v>45845</v>
      </c>
      <c r="B176" s="51" t="s">
        <v>12</v>
      </c>
      <c r="C176" s="58">
        <v>0.4861111111111111</v>
      </c>
      <c r="D176" s="58">
        <v>0.49652777777777779</v>
      </c>
      <c r="E176" s="39">
        <f t="shared" si="7"/>
        <v>15.000000000000027</v>
      </c>
      <c r="F176" s="51" t="s">
        <v>198</v>
      </c>
      <c r="G176" s="51" t="s">
        <v>335</v>
      </c>
      <c r="H176" s="51"/>
      <c r="I176" s="51" t="s">
        <v>23</v>
      </c>
    </row>
    <row r="177" spans="1:9" x14ac:dyDescent="0.25">
      <c r="A177" s="57">
        <v>45845</v>
      </c>
      <c r="B177" s="51" t="s">
        <v>12</v>
      </c>
      <c r="C177" s="58">
        <v>0.49652777777777779</v>
      </c>
      <c r="D177" s="58">
        <v>0.50347222222222221</v>
      </c>
      <c r="E177" s="39">
        <f t="shared" si="7"/>
        <v>9.9999999999999645</v>
      </c>
      <c r="F177" s="51" t="s">
        <v>198</v>
      </c>
      <c r="G177" s="51" t="s">
        <v>336</v>
      </c>
      <c r="H177" s="51"/>
      <c r="I177" s="51" t="s">
        <v>23</v>
      </c>
    </row>
    <row r="178" spans="1:9" ht="34.799999999999997" x14ac:dyDescent="0.25">
      <c r="A178" s="57">
        <v>45845</v>
      </c>
      <c r="B178" s="51" t="s">
        <v>12</v>
      </c>
      <c r="C178" s="58">
        <v>0.50347222222222221</v>
      </c>
      <c r="D178" s="58">
        <v>0.52777777777777779</v>
      </c>
      <c r="E178" s="39">
        <f t="shared" si="7"/>
        <v>35.000000000000036</v>
      </c>
      <c r="F178" s="51" t="s">
        <v>198</v>
      </c>
      <c r="G178" s="51" t="s">
        <v>337</v>
      </c>
      <c r="H178" s="51"/>
      <c r="I178" s="51" t="s">
        <v>23</v>
      </c>
    </row>
    <row r="179" spans="1:9" x14ac:dyDescent="0.25">
      <c r="A179" s="57">
        <v>45845</v>
      </c>
      <c r="B179" s="51" t="s">
        <v>12</v>
      </c>
      <c r="C179" s="58">
        <v>0.52777777777777779</v>
      </c>
      <c r="D179" s="58">
        <v>0.53819444444444442</v>
      </c>
      <c r="E179" s="39">
        <f t="shared" si="7"/>
        <v>14.999999999999947</v>
      </c>
      <c r="F179" s="51" t="s">
        <v>198</v>
      </c>
      <c r="G179" s="51" t="s">
        <v>338</v>
      </c>
      <c r="H179" s="51"/>
      <c r="I179" s="51" t="s">
        <v>23</v>
      </c>
    </row>
    <row r="180" spans="1:9" x14ac:dyDescent="0.25">
      <c r="A180" s="57">
        <v>45845</v>
      </c>
      <c r="B180" s="51" t="s">
        <v>12</v>
      </c>
      <c r="C180" s="58">
        <v>0.53819444444444442</v>
      </c>
      <c r="D180" s="58">
        <v>0.55902777777777779</v>
      </c>
      <c r="E180" s="39">
        <f t="shared" si="7"/>
        <v>30.000000000000053</v>
      </c>
      <c r="F180" s="51" t="s">
        <v>198</v>
      </c>
      <c r="G180" s="51" t="s">
        <v>339</v>
      </c>
      <c r="H180" s="51"/>
      <c r="I180" s="51" t="s">
        <v>23</v>
      </c>
    </row>
    <row r="181" spans="1:9" x14ac:dyDescent="0.25">
      <c r="A181" s="57">
        <v>45845</v>
      </c>
      <c r="B181" s="51" t="s">
        <v>12</v>
      </c>
      <c r="C181" s="58">
        <v>0.55902777777777779</v>
      </c>
      <c r="D181" s="58">
        <v>0.56597222222222221</v>
      </c>
      <c r="E181" s="39">
        <f t="shared" si="7"/>
        <v>9.9999999999999645</v>
      </c>
      <c r="F181" s="51" t="s">
        <v>198</v>
      </c>
      <c r="G181" s="51" t="s">
        <v>340</v>
      </c>
      <c r="H181" s="51"/>
      <c r="I181" s="51" t="s">
        <v>23</v>
      </c>
    </row>
    <row r="182" spans="1:9" x14ac:dyDescent="0.25">
      <c r="A182" s="57">
        <v>45845</v>
      </c>
      <c r="B182" s="51" t="s">
        <v>12</v>
      </c>
      <c r="C182" s="58">
        <v>0.56597222222222221</v>
      </c>
      <c r="D182" s="58">
        <v>0.57638888888888884</v>
      </c>
      <c r="E182" s="39">
        <f t="shared" si="7"/>
        <v>14.999999999999947</v>
      </c>
      <c r="F182" s="51" t="s">
        <v>198</v>
      </c>
      <c r="G182" s="51" t="s">
        <v>341</v>
      </c>
      <c r="H182" s="51"/>
      <c r="I182" s="51" t="s">
        <v>23</v>
      </c>
    </row>
    <row r="183" spans="1:9" x14ac:dyDescent="0.25">
      <c r="A183" s="57">
        <v>45845</v>
      </c>
      <c r="B183" s="51" t="s">
        <v>12</v>
      </c>
      <c r="C183" s="58">
        <v>0.57638888888888884</v>
      </c>
      <c r="D183" s="58">
        <v>0.58333333333333337</v>
      </c>
      <c r="E183" s="39">
        <f t="shared" si="7"/>
        <v>10.000000000000124</v>
      </c>
      <c r="F183" s="51" t="s">
        <v>198</v>
      </c>
      <c r="G183" s="51" t="s">
        <v>342</v>
      </c>
      <c r="H183" s="51"/>
      <c r="I183" s="51" t="s">
        <v>23</v>
      </c>
    </row>
    <row r="184" spans="1:9" ht="34.799999999999997" x14ac:dyDescent="0.25">
      <c r="A184" s="57">
        <v>45845</v>
      </c>
      <c r="B184" s="51" t="s">
        <v>12</v>
      </c>
      <c r="C184" s="58">
        <v>0.58333333333333337</v>
      </c>
      <c r="D184" s="58">
        <v>0.70833333333333337</v>
      </c>
      <c r="E184" s="39">
        <f t="shared" si="7"/>
        <v>180</v>
      </c>
      <c r="F184" s="51" t="s">
        <v>198</v>
      </c>
      <c r="G184" s="51" t="s">
        <v>343</v>
      </c>
      <c r="H184" s="51"/>
      <c r="I184" s="51" t="s">
        <v>23</v>
      </c>
    </row>
    <row r="185" spans="1:9" x14ac:dyDescent="0.25">
      <c r="A185" s="57">
        <v>45845</v>
      </c>
      <c r="B185" s="51" t="s">
        <v>12</v>
      </c>
      <c r="C185" s="58">
        <v>0.70833333333333337</v>
      </c>
      <c r="D185" s="58">
        <v>0.71527777777777779</v>
      </c>
      <c r="E185" s="39">
        <f t="shared" si="7"/>
        <v>9.9999999999999645</v>
      </c>
      <c r="F185" s="51" t="s">
        <v>198</v>
      </c>
      <c r="G185" s="51" t="s">
        <v>344</v>
      </c>
      <c r="H185" s="51"/>
      <c r="I185" s="51" t="s">
        <v>23</v>
      </c>
    </row>
    <row r="186" spans="1:9" x14ac:dyDescent="0.25">
      <c r="A186" s="57">
        <v>45845</v>
      </c>
      <c r="B186" s="51" t="s">
        <v>12</v>
      </c>
      <c r="C186" s="58">
        <v>0.71527777777777779</v>
      </c>
      <c r="D186" s="58">
        <v>0.72222222222222221</v>
      </c>
      <c r="E186" s="39">
        <f t="shared" si="7"/>
        <v>9.9999999999999645</v>
      </c>
      <c r="F186" s="51" t="s">
        <v>198</v>
      </c>
      <c r="G186" s="59" t="s">
        <v>345</v>
      </c>
      <c r="H186" s="51"/>
      <c r="I186" s="51" t="s">
        <v>23</v>
      </c>
    </row>
    <row r="187" spans="1:9" x14ac:dyDescent="0.25">
      <c r="A187" s="57">
        <v>45845</v>
      </c>
      <c r="B187" s="51" t="s">
        <v>12</v>
      </c>
      <c r="C187" s="58">
        <v>0.72222222222222221</v>
      </c>
      <c r="D187" s="58">
        <v>0.73611111111111116</v>
      </c>
      <c r="E187" s="39">
        <f t="shared" si="7"/>
        <v>20.000000000000089</v>
      </c>
      <c r="F187" s="51" t="s">
        <v>198</v>
      </c>
      <c r="G187" s="51" t="s">
        <v>346</v>
      </c>
      <c r="H187" s="51"/>
      <c r="I187" s="51" t="s">
        <v>23</v>
      </c>
    </row>
    <row r="188" spans="1:9" x14ac:dyDescent="0.25">
      <c r="A188" s="57">
        <v>45845</v>
      </c>
      <c r="B188" s="51" t="s">
        <v>12</v>
      </c>
      <c r="C188" s="58">
        <v>0.73611111111111116</v>
      </c>
      <c r="D188" s="58">
        <v>0.75</v>
      </c>
      <c r="E188" s="39">
        <f t="shared" si="7"/>
        <v>19.999999999999929</v>
      </c>
      <c r="F188" s="51" t="s">
        <v>198</v>
      </c>
      <c r="G188" s="51" t="s">
        <v>347</v>
      </c>
      <c r="H188" s="51"/>
      <c r="I188" s="51"/>
    </row>
    <row r="189" spans="1:9" x14ac:dyDescent="0.25">
      <c r="A189" s="57">
        <v>45845</v>
      </c>
      <c r="B189" s="51" t="s">
        <v>12</v>
      </c>
      <c r="C189" s="58">
        <v>0.75</v>
      </c>
      <c r="D189" s="58">
        <v>0.76388888888888884</v>
      </c>
      <c r="E189" s="39">
        <f t="shared" si="7"/>
        <v>19.999999999999929</v>
      </c>
      <c r="F189" s="51" t="s">
        <v>198</v>
      </c>
      <c r="G189" s="51" t="s">
        <v>348</v>
      </c>
      <c r="H189" s="51"/>
      <c r="I189" s="51" t="s">
        <v>23</v>
      </c>
    </row>
    <row r="190" spans="1:9" x14ac:dyDescent="0.25">
      <c r="A190" s="57">
        <v>45845</v>
      </c>
      <c r="B190" s="51" t="s">
        <v>12</v>
      </c>
      <c r="C190" s="58">
        <v>0.76388888888888884</v>
      </c>
      <c r="D190" s="58">
        <v>0.80208333333333337</v>
      </c>
      <c r="E190" s="39">
        <f t="shared" si="7"/>
        <v>55.000000000000128</v>
      </c>
      <c r="F190" s="51" t="s">
        <v>198</v>
      </c>
      <c r="G190" s="51" t="s">
        <v>349</v>
      </c>
      <c r="H190" s="51"/>
      <c r="I190" s="51" t="s">
        <v>23</v>
      </c>
    </row>
    <row r="191" spans="1:9" x14ac:dyDescent="0.25">
      <c r="A191" s="57">
        <v>45845</v>
      </c>
      <c r="B191" s="51" t="s">
        <v>12</v>
      </c>
      <c r="C191" s="58"/>
      <c r="D191" s="58"/>
      <c r="E191" s="39">
        <f t="shared" si="7"/>
        <v>0</v>
      </c>
      <c r="F191" s="51" t="s">
        <v>198</v>
      </c>
      <c r="G191" s="51"/>
      <c r="H191" s="51"/>
      <c r="I191" s="51" t="s">
        <v>23</v>
      </c>
    </row>
    <row r="192" spans="1:9" x14ac:dyDescent="0.25">
      <c r="A192" s="35"/>
      <c r="B192" s="53"/>
      <c r="C192" s="35"/>
      <c r="D192" s="35"/>
      <c r="E192" s="35"/>
      <c r="F192" s="53"/>
      <c r="G192" s="35"/>
      <c r="H192" s="35"/>
      <c r="I192" s="35"/>
    </row>
    <row r="193" spans="1:9" x14ac:dyDescent="0.25">
      <c r="A193" s="19" t="s">
        <v>1</v>
      </c>
      <c r="B193" s="19" t="s">
        <v>2</v>
      </c>
      <c r="C193" s="54" t="s">
        <v>3</v>
      </c>
      <c r="D193" s="55"/>
      <c r="E193" s="19" t="s">
        <v>4</v>
      </c>
      <c r="F193" s="19" t="s">
        <v>5</v>
      </c>
      <c r="G193" s="19" t="s">
        <v>6</v>
      </c>
      <c r="H193" s="19" t="s">
        <v>7</v>
      </c>
      <c r="I193" s="19" t="s">
        <v>8</v>
      </c>
    </row>
    <row r="194" spans="1:9" x14ac:dyDescent="0.25">
      <c r="A194" s="56"/>
      <c r="B194" s="56"/>
      <c r="C194" s="51" t="s">
        <v>9</v>
      </c>
      <c r="D194" s="51" t="s">
        <v>10</v>
      </c>
      <c r="E194" s="56"/>
      <c r="F194" s="56"/>
      <c r="G194" s="56"/>
      <c r="H194" s="56"/>
      <c r="I194" s="56"/>
    </row>
    <row r="195" spans="1:9" x14ac:dyDescent="0.25">
      <c r="A195" s="57">
        <v>45846</v>
      </c>
      <c r="B195" s="51" t="s">
        <v>59</v>
      </c>
      <c r="C195" s="58">
        <v>0.2951388888888889</v>
      </c>
      <c r="D195" s="58">
        <v>0.2986111111111111</v>
      </c>
      <c r="E195" s="39">
        <f t="shared" ref="E195:E219" si="8">(D195-C195)*1440</f>
        <v>4.9999999999999822</v>
      </c>
      <c r="F195" s="51" t="s">
        <v>198</v>
      </c>
      <c r="G195" s="51" t="s">
        <v>290</v>
      </c>
      <c r="H195" s="51"/>
      <c r="I195" s="51" t="s">
        <v>23</v>
      </c>
    </row>
    <row r="196" spans="1:9" x14ac:dyDescent="0.25">
      <c r="A196" s="57">
        <v>45846</v>
      </c>
      <c r="B196" s="51" t="s">
        <v>59</v>
      </c>
      <c r="C196" s="58">
        <v>0.2986111111111111</v>
      </c>
      <c r="D196" s="58">
        <v>0.34027777777777779</v>
      </c>
      <c r="E196" s="39">
        <f t="shared" si="8"/>
        <v>60.000000000000028</v>
      </c>
      <c r="F196" s="51" t="s">
        <v>198</v>
      </c>
      <c r="G196" s="51" t="s">
        <v>350</v>
      </c>
      <c r="H196" s="51"/>
      <c r="I196" s="51"/>
    </row>
    <row r="197" spans="1:9" x14ac:dyDescent="0.25">
      <c r="A197" s="57">
        <v>45846</v>
      </c>
      <c r="B197" s="51" t="s">
        <v>59</v>
      </c>
      <c r="C197" s="58">
        <v>0.34027777777777779</v>
      </c>
      <c r="D197" s="58">
        <v>0.3888888888888889</v>
      </c>
      <c r="E197" s="39">
        <f t="shared" si="8"/>
        <v>69.999999999999986</v>
      </c>
      <c r="F197" s="51" t="s">
        <v>198</v>
      </c>
      <c r="G197" s="51" t="s">
        <v>351</v>
      </c>
      <c r="H197" s="51"/>
      <c r="I197" s="51" t="s">
        <v>23</v>
      </c>
    </row>
    <row r="198" spans="1:9" x14ac:dyDescent="0.25">
      <c r="A198" s="57">
        <v>45846</v>
      </c>
      <c r="B198" s="51" t="s">
        <v>59</v>
      </c>
      <c r="C198" s="58">
        <v>0.3888888888888889</v>
      </c>
      <c r="D198" s="58">
        <v>0.39583333333333331</v>
      </c>
      <c r="E198" s="39">
        <f t="shared" si="8"/>
        <v>9.9999999999999645</v>
      </c>
      <c r="F198" s="51" t="s">
        <v>198</v>
      </c>
      <c r="G198" s="51" t="s">
        <v>352</v>
      </c>
      <c r="H198" s="51"/>
      <c r="I198" s="51" t="s">
        <v>23</v>
      </c>
    </row>
    <row r="199" spans="1:9" x14ac:dyDescent="0.25">
      <c r="A199" s="57">
        <v>45846</v>
      </c>
      <c r="B199" s="51" t="s">
        <v>59</v>
      </c>
      <c r="C199" s="58">
        <v>0.39583333333333331</v>
      </c>
      <c r="D199" s="58">
        <v>0.40277777777777779</v>
      </c>
      <c r="E199" s="39">
        <f t="shared" si="8"/>
        <v>10.000000000000044</v>
      </c>
      <c r="F199" s="51" t="s">
        <v>198</v>
      </c>
      <c r="G199" s="51" t="s">
        <v>236</v>
      </c>
      <c r="H199" s="51"/>
      <c r="I199" s="51" t="s">
        <v>23</v>
      </c>
    </row>
    <row r="200" spans="1:9" x14ac:dyDescent="0.25">
      <c r="A200" s="57">
        <v>45846</v>
      </c>
      <c r="B200" s="51" t="s">
        <v>59</v>
      </c>
      <c r="C200" s="58">
        <v>0.40277777777777779</v>
      </c>
      <c r="D200" s="58">
        <v>0.40972222222222221</v>
      </c>
      <c r="E200" s="39">
        <f t="shared" si="8"/>
        <v>9.9999999999999645</v>
      </c>
      <c r="F200" s="51" t="s">
        <v>198</v>
      </c>
      <c r="G200" s="51" t="s">
        <v>353</v>
      </c>
      <c r="H200" s="63"/>
      <c r="I200" s="51" t="s">
        <v>23</v>
      </c>
    </row>
    <row r="201" spans="1:9" ht="23.4" x14ac:dyDescent="0.25">
      <c r="A201" s="57">
        <v>45846</v>
      </c>
      <c r="B201" s="51" t="s">
        <v>59</v>
      </c>
      <c r="C201" s="58">
        <v>0.40972222222222221</v>
      </c>
      <c r="D201" s="58">
        <v>0.42708333333333331</v>
      </c>
      <c r="E201" s="39">
        <f t="shared" si="8"/>
        <v>24.999999999999993</v>
      </c>
      <c r="F201" s="51" t="s">
        <v>198</v>
      </c>
      <c r="G201" s="51" t="s">
        <v>354</v>
      </c>
      <c r="H201" s="51"/>
      <c r="I201" s="51" t="s">
        <v>23</v>
      </c>
    </row>
    <row r="202" spans="1:9" x14ac:dyDescent="0.25">
      <c r="A202" s="57">
        <v>45846</v>
      </c>
      <c r="B202" s="51" t="s">
        <v>59</v>
      </c>
      <c r="C202" s="58">
        <v>0.42708333333333331</v>
      </c>
      <c r="D202" s="58">
        <v>0.43402777777777779</v>
      </c>
      <c r="E202" s="39">
        <f t="shared" si="8"/>
        <v>10.000000000000044</v>
      </c>
      <c r="F202" s="51" t="s">
        <v>198</v>
      </c>
      <c r="G202" s="51" t="s">
        <v>355</v>
      </c>
      <c r="H202" s="51"/>
      <c r="I202" s="51" t="s">
        <v>23</v>
      </c>
    </row>
    <row r="203" spans="1:9" ht="23.4" x14ac:dyDescent="0.25">
      <c r="A203" s="57">
        <v>45846</v>
      </c>
      <c r="B203" s="51" t="s">
        <v>59</v>
      </c>
      <c r="C203" s="58">
        <v>0.43402777777777779</v>
      </c>
      <c r="D203" s="58">
        <v>0.44444444444444442</v>
      </c>
      <c r="E203" s="39">
        <f t="shared" si="8"/>
        <v>14.999999999999947</v>
      </c>
      <c r="F203" s="51" t="s">
        <v>198</v>
      </c>
      <c r="G203" s="51" t="s">
        <v>356</v>
      </c>
      <c r="H203" s="51"/>
      <c r="I203" s="51" t="s">
        <v>23</v>
      </c>
    </row>
    <row r="204" spans="1:9" x14ac:dyDescent="0.25">
      <c r="A204" s="57">
        <v>45846</v>
      </c>
      <c r="B204" s="51" t="s">
        <v>59</v>
      </c>
      <c r="C204" s="58">
        <v>0.44444444444444442</v>
      </c>
      <c r="D204" s="58">
        <v>0.4513888888888889</v>
      </c>
      <c r="E204" s="39">
        <f t="shared" si="8"/>
        <v>10.000000000000044</v>
      </c>
      <c r="F204" s="51" t="s">
        <v>198</v>
      </c>
      <c r="G204" s="51" t="s">
        <v>357</v>
      </c>
      <c r="H204" s="51"/>
      <c r="I204" s="51" t="s">
        <v>23</v>
      </c>
    </row>
    <row r="205" spans="1:9" x14ac:dyDescent="0.25">
      <c r="A205" s="57">
        <v>45846</v>
      </c>
      <c r="B205" s="51" t="s">
        <v>59</v>
      </c>
      <c r="C205" s="58">
        <v>0.4513888888888889</v>
      </c>
      <c r="D205" s="58">
        <v>0.45833333333333331</v>
      </c>
      <c r="E205" s="39">
        <f t="shared" si="8"/>
        <v>9.9999999999999645</v>
      </c>
      <c r="F205" s="51" t="s">
        <v>198</v>
      </c>
      <c r="G205" s="51" t="s">
        <v>358</v>
      </c>
      <c r="H205" s="51"/>
      <c r="I205" s="51" t="s">
        <v>23</v>
      </c>
    </row>
    <row r="206" spans="1:9" x14ac:dyDescent="0.25">
      <c r="A206" s="57">
        <v>45846</v>
      </c>
      <c r="B206" s="51" t="s">
        <v>59</v>
      </c>
      <c r="C206" s="58">
        <v>0.45833333333333331</v>
      </c>
      <c r="D206" s="58">
        <v>0.47222222222222221</v>
      </c>
      <c r="E206" s="39">
        <f t="shared" si="8"/>
        <v>20.000000000000007</v>
      </c>
      <c r="F206" s="51" t="s">
        <v>198</v>
      </c>
      <c r="G206" s="51" t="s">
        <v>359</v>
      </c>
      <c r="H206" s="51"/>
      <c r="I206" s="51" t="s">
        <v>23</v>
      </c>
    </row>
    <row r="207" spans="1:9" x14ac:dyDescent="0.25">
      <c r="A207" s="57">
        <v>45846</v>
      </c>
      <c r="B207" s="51" t="s">
        <v>59</v>
      </c>
      <c r="C207" s="58">
        <v>0.47222222222222221</v>
      </c>
      <c r="D207" s="58">
        <v>0.4826388888888889</v>
      </c>
      <c r="E207" s="39">
        <f t="shared" si="8"/>
        <v>15.000000000000027</v>
      </c>
      <c r="F207" s="51" t="s">
        <v>198</v>
      </c>
      <c r="G207" s="51" t="s">
        <v>360</v>
      </c>
      <c r="H207" s="51"/>
      <c r="I207" s="51" t="s">
        <v>23</v>
      </c>
    </row>
    <row r="208" spans="1:9" x14ac:dyDescent="0.25">
      <c r="A208" s="57">
        <v>45846</v>
      </c>
      <c r="B208" s="51" t="s">
        <v>59</v>
      </c>
      <c r="C208" s="58">
        <v>0.4826388888888889</v>
      </c>
      <c r="D208" s="58">
        <v>0.49305555555555558</v>
      </c>
      <c r="E208" s="39">
        <f t="shared" si="8"/>
        <v>15.000000000000027</v>
      </c>
      <c r="F208" s="51" t="s">
        <v>198</v>
      </c>
      <c r="G208" s="51" t="s">
        <v>361</v>
      </c>
      <c r="H208" s="51"/>
      <c r="I208" s="51" t="s">
        <v>23</v>
      </c>
    </row>
    <row r="209" spans="1:9" x14ac:dyDescent="0.25">
      <c r="A209" s="57">
        <v>45846</v>
      </c>
      <c r="B209" s="51" t="s">
        <v>59</v>
      </c>
      <c r="C209" s="58">
        <v>0.49305555555555558</v>
      </c>
      <c r="D209" s="58">
        <v>0.50347222222222221</v>
      </c>
      <c r="E209" s="39">
        <f t="shared" si="8"/>
        <v>14.999999999999947</v>
      </c>
      <c r="F209" s="51" t="s">
        <v>198</v>
      </c>
      <c r="G209" s="51" t="s">
        <v>362</v>
      </c>
      <c r="H209" s="51"/>
      <c r="I209" s="51" t="s">
        <v>23</v>
      </c>
    </row>
    <row r="210" spans="1:9" x14ac:dyDescent="0.25">
      <c r="A210" s="57">
        <v>45846</v>
      </c>
      <c r="B210" s="51" t="s">
        <v>59</v>
      </c>
      <c r="C210" s="58">
        <v>0.50347222222222221</v>
      </c>
      <c r="D210" s="58">
        <v>0.54166666666666663</v>
      </c>
      <c r="E210" s="39">
        <f t="shared" si="8"/>
        <v>54.999999999999964</v>
      </c>
      <c r="F210" s="51" t="s">
        <v>198</v>
      </c>
      <c r="G210" s="51" t="s">
        <v>225</v>
      </c>
      <c r="H210" s="51"/>
      <c r="I210" s="51" t="s">
        <v>23</v>
      </c>
    </row>
    <row r="211" spans="1:9" x14ac:dyDescent="0.25">
      <c r="A211" s="57">
        <v>45846</v>
      </c>
      <c r="B211" s="51" t="s">
        <v>59</v>
      </c>
      <c r="C211" s="58">
        <v>0.54166666666666663</v>
      </c>
      <c r="D211" s="58">
        <v>0.55555555555555558</v>
      </c>
      <c r="E211" s="39">
        <f t="shared" si="8"/>
        <v>20.000000000000089</v>
      </c>
      <c r="F211" s="51" t="s">
        <v>198</v>
      </c>
      <c r="G211" s="51" t="s">
        <v>363</v>
      </c>
      <c r="H211" s="51"/>
      <c r="I211" s="51" t="s">
        <v>23</v>
      </c>
    </row>
    <row r="212" spans="1:9" x14ac:dyDescent="0.25">
      <c r="A212" s="57">
        <v>45846</v>
      </c>
      <c r="B212" s="51" t="s">
        <v>59</v>
      </c>
      <c r="C212" s="58">
        <v>0.55555555555555558</v>
      </c>
      <c r="D212" s="58">
        <v>0.5625</v>
      </c>
      <c r="E212" s="39">
        <f t="shared" si="8"/>
        <v>9.9999999999999645</v>
      </c>
      <c r="F212" s="51" t="s">
        <v>198</v>
      </c>
      <c r="G212" s="51" t="s">
        <v>364</v>
      </c>
      <c r="H212" s="51"/>
      <c r="I212" s="51" t="s">
        <v>23</v>
      </c>
    </row>
    <row r="213" spans="1:9" ht="46.2" x14ac:dyDescent="0.25">
      <c r="A213" s="57">
        <v>45846</v>
      </c>
      <c r="B213" s="51" t="s">
        <v>59</v>
      </c>
      <c r="C213" s="58">
        <v>0.5625</v>
      </c>
      <c r="D213" s="58">
        <v>0.60416666666666663</v>
      </c>
      <c r="E213" s="39">
        <f t="shared" si="8"/>
        <v>59.999999999999943</v>
      </c>
      <c r="F213" s="51" t="s">
        <v>198</v>
      </c>
      <c r="G213" s="51" t="s">
        <v>365</v>
      </c>
      <c r="H213" s="51"/>
      <c r="I213" s="51"/>
    </row>
    <row r="214" spans="1:9" x14ac:dyDescent="0.25">
      <c r="A214" s="57">
        <v>45846</v>
      </c>
      <c r="B214" s="51" t="s">
        <v>59</v>
      </c>
      <c r="C214" s="58">
        <v>0.60416666666666663</v>
      </c>
      <c r="D214" s="58">
        <v>0.66666666666666663</v>
      </c>
      <c r="E214" s="39">
        <f t="shared" si="8"/>
        <v>90</v>
      </c>
      <c r="F214" s="51" t="s">
        <v>198</v>
      </c>
      <c r="G214" s="51" t="s">
        <v>366</v>
      </c>
      <c r="H214" s="51"/>
      <c r="I214" s="51" t="s">
        <v>23</v>
      </c>
    </row>
    <row r="215" spans="1:9" x14ac:dyDescent="0.25">
      <c r="A215" s="57">
        <v>45846</v>
      </c>
      <c r="B215" s="51" t="s">
        <v>59</v>
      </c>
      <c r="C215" s="58">
        <v>0.66666666666666663</v>
      </c>
      <c r="D215" s="58">
        <v>0.69444444444444442</v>
      </c>
      <c r="E215" s="39">
        <f t="shared" si="8"/>
        <v>40.000000000000014</v>
      </c>
      <c r="F215" s="51" t="s">
        <v>198</v>
      </c>
      <c r="G215" s="51" t="s">
        <v>367</v>
      </c>
      <c r="H215" s="51"/>
      <c r="I215" s="51" t="s">
        <v>23</v>
      </c>
    </row>
    <row r="216" spans="1:9" x14ac:dyDescent="0.25">
      <c r="A216" s="57">
        <v>45846</v>
      </c>
      <c r="B216" s="51" t="s">
        <v>59</v>
      </c>
      <c r="C216" s="58">
        <v>0.69444444444444442</v>
      </c>
      <c r="D216" s="58">
        <v>0.70486111111111116</v>
      </c>
      <c r="E216" s="39">
        <f t="shared" si="8"/>
        <v>15.000000000000107</v>
      </c>
      <c r="F216" s="51" t="s">
        <v>198</v>
      </c>
      <c r="G216" s="51" t="s">
        <v>368</v>
      </c>
      <c r="H216" s="51"/>
      <c r="I216" s="51"/>
    </row>
    <row r="217" spans="1:9" x14ac:dyDescent="0.25">
      <c r="A217" s="57">
        <v>45846</v>
      </c>
      <c r="B217" s="51" t="s">
        <v>59</v>
      </c>
      <c r="C217" s="58">
        <v>0.70486111111111116</v>
      </c>
      <c r="D217" s="58">
        <v>0.71527777777777779</v>
      </c>
      <c r="E217" s="39">
        <f t="shared" si="8"/>
        <v>14.999999999999947</v>
      </c>
      <c r="F217" s="51" t="s">
        <v>198</v>
      </c>
      <c r="G217" s="51" t="s">
        <v>344</v>
      </c>
      <c r="H217" s="51"/>
      <c r="I217" s="51"/>
    </row>
    <row r="218" spans="1:9" x14ac:dyDescent="0.25">
      <c r="A218" s="57">
        <v>45846</v>
      </c>
      <c r="B218" s="51" t="s">
        <v>59</v>
      </c>
      <c r="C218" s="58">
        <v>0.71527777777777779</v>
      </c>
      <c r="D218" s="58">
        <v>0.79166666666666663</v>
      </c>
      <c r="E218" s="39">
        <f t="shared" si="8"/>
        <v>109.99999999999993</v>
      </c>
      <c r="F218" s="51" t="s">
        <v>198</v>
      </c>
      <c r="G218" s="51" t="s">
        <v>369</v>
      </c>
      <c r="H218" s="51"/>
      <c r="I218" s="51"/>
    </row>
    <row r="219" spans="1:9" x14ac:dyDescent="0.25">
      <c r="A219" s="57">
        <v>45846</v>
      </c>
      <c r="B219" s="51" t="s">
        <v>59</v>
      </c>
      <c r="C219" s="58">
        <v>0.79166666666666663</v>
      </c>
      <c r="D219" s="58">
        <v>0.8125</v>
      </c>
      <c r="E219" s="39">
        <f t="shared" si="8"/>
        <v>30.000000000000053</v>
      </c>
      <c r="F219" s="51" t="s">
        <v>198</v>
      </c>
      <c r="G219" s="51" t="s">
        <v>370</v>
      </c>
      <c r="H219" s="51"/>
      <c r="I219" s="51"/>
    </row>
    <row r="220" spans="1:9" x14ac:dyDescent="0.25">
      <c r="A220" s="35"/>
      <c r="B220" s="53"/>
      <c r="C220" s="35"/>
      <c r="D220" s="35"/>
      <c r="E220" s="35"/>
      <c r="F220" s="53"/>
      <c r="G220" s="35"/>
      <c r="H220" s="35"/>
      <c r="I220" s="35"/>
    </row>
    <row r="221" spans="1:9" x14ac:dyDescent="0.25">
      <c r="A221" s="19" t="s">
        <v>1</v>
      </c>
      <c r="B221" s="19" t="s">
        <v>2</v>
      </c>
      <c r="C221" s="54" t="s">
        <v>3</v>
      </c>
      <c r="D221" s="55"/>
      <c r="E221" s="19" t="s">
        <v>4</v>
      </c>
      <c r="F221" s="19" t="s">
        <v>5</v>
      </c>
      <c r="G221" s="19" t="s">
        <v>6</v>
      </c>
      <c r="H221" s="19" t="s">
        <v>7</v>
      </c>
      <c r="I221" s="19" t="s">
        <v>8</v>
      </c>
    </row>
    <row r="222" spans="1:9" x14ac:dyDescent="0.25">
      <c r="A222" s="56"/>
      <c r="B222" s="56"/>
      <c r="C222" s="51" t="s">
        <v>9</v>
      </c>
      <c r="D222" s="51" t="s">
        <v>10</v>
      </c>
      <c r="E222" s="56"/>
      <c r="F222" s="56"/>
      <c r="G222" s="56"/>
      <c r="H222" s="56"/>
      <c r="I222" s="56"/>
    </row>
    <row r="223" spans="1:9" x14ac:dyDescent="0.25">
      <c r="A223" s="57">
        <v>45847</v>
      </c>
      <c r="B223" s="51" t="s">
        <v>88</v>
      </c>
      <c r="C223" s="58">
        <v>0.2986111111111111</v>
      </c>
      <c r="D223" s="58">
        <v>0.30555555555555558</v>
      </c>
      <c r="E223" s="39">
        <f t="shared" ref="E223:E238" si="9">(D223-C223)*1440</f>
        <v>10.000000000000044</v>
      </c>
      <c r="F223" s="51" t="s">
        <v>198</v>
      </c>
      <c r="G223" s="51" t="s">
        <v>290</v>
      </c>
      <c r="H223" s="51"/>
      <c r="I223" s="51" t="s">
        <v>23</v>
      </c>
    </row>
    <row r="224" spans="1:9" x14ac:dyDescent="0.25">
      <c r="A224" s="57">
        <v>45847</v>
      </c>
      <c r="B224" s="51" t="s">
        <v>88</v>
      </c>
      <c r="C224" s="58">
        <v>0.30555555555555558</v>
      </c>
      <c r="D224" s="58">
        <v>0.4375</v>
      </c>
      <c r="E224" s="39">
        <f t="shared" si="9"/>
        <v>189.99999999999997</v>
      </c>
      <c r="F224" s="51" t="s">
        <v>198</v>
      </c>
      <c r="G224" s="51" t="s">
        <v>371</v>
      </c>
      <c r="H224" s="51"/>
      <c r="I224" s="51"/>
    </row>
    <row r="225" spans="1:9" x14ac:dyDescent="0.25">
      <c r="A225" s="57">
        <v>45847</v>
      </c>
      <c r="B225" s="51" t="s">
        <v>88</v>
      </c>
      <c r="C225" s="58">
        <v>0.4375</v>
      </c>
      <c r="D225" s="58">
        <v>0.4513888888888889</v>
      </c>
      <c r="E225" s="39">
        <f t="shared" si="9"/>
        <v>20.000000000000007</v>
      </c>
      <c r="F225" s="51" t="s">
        <v>198</v>
      </c>
      <c r="G225" s="51" t="s">
        <v>35</v>
      </c>
      <c r="H225" s="51"/>
      <c r="I225" s="51" t="s">
        <v>23</v>
      </c>
    </row>
    <row r="226" spans="1:9" x14ac:dyDescent="0.25">
      <c r="A226" s="57">
        <v>45847</v>
      </c>
      <c r="B226" s="51" t="s">
        <v>88</v>
      </c>
      <c r="C226" s="58">
        <v>0.4513888888888889</v>
      </c>
      <c r="D226" s="58">
        <v>0.45833333333333331</v>
      </c>
      <c r="E226" s="39">
        <f t="shared" si="9"/>
        <v>9.9999999999999645</v>
      </c>
      <c r="F226" s="51" t="s">
        <v>198</v>
      </c>
      <c r="G226" s="51" t="s">
        <v>372</v>
      </c>
      <c r="H226" s="51"/>
      <c r="I226" s="51" t="s">
        <v>23</v>
      </c>
    </row>
    <row r="227" spans="1:9" x14ac:dyDescent="0.25">
      <c r="A227" s="57">
        <v>45847</v>
      </c>
      <c r="B227" s="51" t="s">
        <v>88</v>
      </c>
      <c r="C227" s="58">
        <v>0.45833333333333331</v>
      </c>
      <c r="D227" s="58">
        <v>0.46527777777777779</v>
      </c>
      <c r="E227" s="39">
        <f t="shared" si="9"/>
        <v>10.000000000000044</v>
      </c>
      <c r="F227" s="51" t="s">
        <v>198</v>
      </c>
      <c r="G227" s="51" t="s">
        <v>353</v>
      </c>
      <c r="H227" s="51"/>
      <c r="I227" s="51" t="s">
        <v>23</v>
      </c>
    </row>
    <row r="228" spans="1:9" x14ac:dyDescent="0.25">
      <c r="A228" s="57">
        <v>45847</v>
      </c>
      <c r="B228" s="51" t="s">
        <v>88</v>
      </c>
      <c r="C228" s="58">
        <v>0.46527777777777779</v>
      </c>
      <c r="D228" s="58">
        <v>0.47569444444444442</v>
      </c>
      <c r="E228" s="39">
        <f t="shared" si="9"/>
        <v>14.999999999999947</v>
      </c>
      <c r="F228" s="51" t="s">
        <v>198</v>
      </c>
      <c r="G228" s="51" t="s">
        <v>373</v>
      </c>
      <c r="H228" s="63"/>
      <c r="I228" s="51" t="s">
        <v>23</v>
      </c>
    </row>
    <row r="229" spans="1:9" x14ac:dyDescent="0.25">
      <c r="A229" s="57">
        <v>45847</v>
      </c>
      <c r="B229" s="51" t="s">
        <v>88</v>
      </c>
      <c r="C229" s="58">
        <v>0.47569444444444442</v>
      </c>
      <c r="D229" s="58">
        <v>0.4826388888888889</v>
      </c>
      <c r="E229" s="39">
        <f t="shared" si="9"/>
        <v>10.000000000000044</v>
      </c>
      <c r="F229" s="51" t="s">
        <v>198</v>
      </c>
      <c r="G229" s="51" t="s">
        <v>352</v>
      </c>
      <c r="H229" s="51"/>
      <c r="I229" s="51" t="s">
        <v>23</v>
      </c>
    </row>
    <row r="230" spans="1:9" x14ac:dyDescent="0.25">
      <c r="A230" s="57">
        <v>45847</v>
      </c>
      <c r="B230" s="51" t="s">
        <v>88</v>
      </c>
      <c r="C230" s="58">
        <v>0.4826388888888889</v>
      </c>
      <c r="D230" s="58">
        <v>0.48958333333333331</v>
      </c>
      <c r="E230" s="39">
        <f t="shared" si="9"/>
        <v>9.9999999999999645</v>
      </c>
      <c r="F230" s="51" t="s">
        <v>198</v>
      </c>
      <c r="G230" s="51" t="s">
        <v>374</v>
      </c>
      <c r="H230" s="51"/>
      <c r="I230" s="51" t="s">
        <v>23</v>
      </c>
    </row>
    <row r="231" spans="1:9" x14ac:dyDescent="0.25">
      <c r="A231" s="57">
        <v>45847</v>
      </c>
      <c r="B231" s="51" t="s">
        <v>88</v>
      </c>
      <c r="C231" s="58">
        <v>0.48958333333333331</v>
      </c>
      <c r="D231" s="58">
        <v>0.5</v>
      </c>
      <c r="E231" s="39">
        <f t="shared" si="9"/>
        <v>15.000000000000027</v>
      </c>
      <c r="F231" s="51" t="s">
        <v>198</v>
      </c>
      <c r="G231" s="51" t="s">
        <v>375</v>
      </c>
      <c r="H231" s="51"/>
      <c r="I231" s="51" t="s">
        <v>23</v>
      </c>
    </row>
    <row r="232" spans="1:9" x14ac:dyDescent="0.25">
      <c r="A232" s="57">
        <v>45847</v>
      </c>
      <c r="B232" s="51" t="s">
        <v>88</v>
      </c>
      <c r="C232" s="58">
        <v>0.5</v>
      </c>
      <c r="D232" s="58">
        <v>0.54166666666666663</v>
      </c>
      <c r="E232" s="39">
        <f t="shared" si="9"/>
        <v>59.999999999999943</v>
      </c>
      <c r="F232" s="51" t="s">
        <v>198</v>
      </c>
      <c r="G232" s="51" t="s">
        <v>225</v>
      </c>
      <c r="H232" s="51"/>
      <c r="I232" s="51" t="s">
        <v>23</v>
      </c>
    </row>
    <row r="233" spans="1:9" x14ac:dyDescent="0.25">
      <c r="A233" s="57">
        <v>45847</v>
      </c>
      <c r="B233" s="51" t="s">
        <v>88</v>
      </c>
      <c r="C233" s="58">
        <v>0.54166666666666663</v>
      </c>
      <c r="D233" s="58">
        <v>0.55208333333333337</v>
      </c>
      <c r="E233" s="39">
        <f t="shared" si="9"/>
        <v>15.000000000000107</v>
      </c>
      <c r="F233" s="51" t="s">
        <v>198</v>
      </c>
      <c r="G233" s="51" t="s">
        <v>376</v>
      </c>
      <c r="H233" s="51"/>
      <c r="I233" s="51" t="s">
        <v>23</v>
      </c>
    </row>
    <row r="234" spans="1:9" x14ac:dyDescent="0.25">
      <c r="A234" s="57">
        <v>45847</v>
      </c>
      <c r="B234" s="51" t="s">
        <v>88</v>
      </c>
      <c r="C234" s="58">
        <v>0.55208333333333337</v>
      </c>
      <c r="D234" s="58">
        <v>0.60763888888888884</v>
      </c>
      <c r="E234" s="39">
        <f t="shared" si="9"/>
        <v>79.999999999999872</v>
      </c>
      <c r="F234" s="51" t="s">
        <v>198</v>
      </c>
      <c r="G234" s="51" t="s">
        <v>377</v>
      </c>
      <c r="H234" s="51"/>
      <c r="I234" s="51" t="s">
        <v>23</v>
      </c>
    </row>
    <row r="235" spans="1:9" x14ac:dyDescent="0.25">
      <c r="A235" s="57">
        <v>45847</v>
      </c>
      <c r="B235" s="51" t="s">
        <v>88</v>
      </c>
      <c r="C235" s="58">
        <v>0.60763888888888884</v>
      </c>
      <c r="D235" s="58">
        <v>0.66319444444444442</v>
      </c>
      <c r="E235" s="39">
        <f t="shared" si="9"/>
        <v>80.000000000000028</v>
      </c>
      <c r="F235" s="51" t="s">
        <v>198</v>
      </c>
      <c r="G235" s="51" t="s">
        <v>378</v>
      </c>
      <c r="H235" s="51"/>
      <c r="I235" s="51" t="s">
        <v>23</v>
      </c>
    </row>
    <row r="236" spans="1:9" ht="23.4" x14ac:dyDescent="0.25">
      <c r="A236" s="57">
        <v>45847</v>
      </c>
      <c r="B236" s="51" t="s">
        <v>88</v>
      </c>
      <c r="C236" s="58">
        <v>0.66319444444444442</v>
      </c>
      <c r="D236" s="58">
        <v>0.70486111111111116</v>
      </c>
      <c r="E236" s="39">
        <f t="shared" si="9"/>
        <v>60.000000000000107</v>
      </c>
      <c r="F236" s="51" t="s">
        <v>198</v>
      </c>
      <c r="G236" s="51" t="s">
        <v>379</v>
      </c>
      <c r="H236" s="51"/>
      <c r="I236" s="51" t="s">
        <v>23</v>
      </c>
    </row>
    <row r="237" spans="1:9" x14ac:dyDescent="0.25">
      <c r="A237" s="57">
        <v>45847</v>
      </c>
      <c r="B237" s="51" t="s">
        <v>88</v>
      </c>
      <c r="C237" s="58">
        <v>0.70486111111111116</v>
      </c>
      <c r="D237" s="58">
        <v>0.71180555555555558</v>
      </c>
      <c r="E237" s="39">
        <f t="shared" si="9"/>
        <v>9.9999999999999645</v>
      </c>
      <c r="F237" s="51" t="s">
        <v>198</v>
      </c>
      <c r="G237" s="51" t="s">
        <v>380</v>
      </c>
      <c r="H237" s="51"/>
      <c r="I237" s="51" t="s">
        <v>23</v>
      </c>
    </row>
    <row r="238" spans="1:9" x14ac:dyDescent="0.25">
      <c r="A238" s="57">
        <v>45847</v>
      </c>
      <c r="B238" s="51" t="s">
        <v>88</v>
      </c>
      <c r="C238" s="58">
        <v>0.71180555555555558</v>
      </c>
      <c r="D238" s="58">
        <v>0.79166666666666663</v>
      </c>
      <c r="E238" s="39">
        <f t="shared" si="9"/>
        <v>114.99999999999991</v>
      </c>
      <c r="F238" s="51" t="s">
        <v>198</v>
      </c>
      <c r="G238" s="51" t="s">
        <v>381</v>
      </c>
      <c r="H238" s="51"/>
      <c r="I238" s="51" t="s">
        <v>23</v>
      </c>
    </row>
    <row r="239" spans="1:9" x14ac:dyDescent="0.25">
      <c r="A239" s="35"/>
      <c r="B239" s="53"/>
      <c r="C239" s="35"/>
      <c r="D239" s="35"/>
      <c r="E239" s="35"/>
      <c r="F239" s="53"/>
      <c r="G239" s="35"/>
      <c r="H239" s="35"/>
      <c r="I239" s="35"/>
    </row>
    <row r="240" spans="1:9" x14ac:dyDescent="0.25">
      <c r="A240" s="19" t="s">
        <v>1</v>
      </c>
      <c r="B240" s="19" t="s">
        <v>2</v>
      </c>
      <c r="C240" s="54" t="s">
        <v>3</v>
      </c>
      <c r="D240" s="55"/>
      <c r="E240" s="19" t="s">
        <v>4</v>
      </c>
      <c r="F240" s="19" t="s">
        <v>5</v>
      </c>
      <c r="G240" s="19" t="s">
        <v>6</v>
      </c>
      <c r="H240" s="19" t="s">
        <v>7</v>
      </c>
      <c r="I240" s="19" t="s">
        <v>8</v>
      </c>
    </row>
    <row r="241" spans="1:9" x14ac:dyDescent="0.25">
      <c r="A241" s="56"/>
      <c r="B241" s="56"/>
      <c r="C241" s="51" t="s">
        <v>9</v>
      </c>
      <c r="D241" s="51" t="s">
        <v>10</v>
      </c>
      <c r="E241" s="56"/>
      <c r="F241" s="56"/>
      <c r="G241" s="56"/>
      <c r="H241" s="56"/>
      <c r="I241" s="56"/>
    </row>
    <row r="242" spans="1:9" x14ac:dyDescent="0.25">
      <c r="A242" s="57">
        <v>45848</v>
      </c>
      <c r="B242" s="51" t="s">
        <v>91</v>
      </c>
      <c r="C242" s="58">
        <v>0.2986111111111111</v>
      </c>
      <c r="D242" s="58">
        <v>0.30555555555555558</v>
      </c>
      <c r="E242" s="39">
        <f t="shared" ref="E242:E261" si="10">(D242-C242)*1440</f>
        <v>10.000000000000044</v>
      </c>
      <c r="F242" s="51" t="s">
        <v>198</v>
      </c>
      <c r="G242" s="51" t="s">
        <v>382</v>
      </c>
      <c r="H242" s="51"/>
      <c r="I242" s="51" t="s">
        <v>23</v>
      </c>
    </row>
    <row r="243" spans="1:9" x14ac:dyDescent="0.25">
      <c r="A243" s="57">
        <v>45848</v>
      </c>
      <c r="B243" s="51" t="s">
        <v>91</v>
      </c>
      <c r="C243" s="58">
        <v>0.30555555555555558</v>
      </c>
      <c r="D243" s="58">
        <v>0.3125</v>
      </c>
      <c r="E243" s="39">
        <f t="shared" si="10"/>
        <v>9.9999999999999645</v>
      </c>
      <c r="F243" s="51" t="s">
        <v>198</v>
      </c>
      <c r="G243" s="51" t="s">
        <v>290</v>
      </c>
      <c r="H243" s="51"/>
      <c r="I243" s="51"/>
    </row>
    <row r="244" spans="1:9" x14ac:dyDescent="0.25">
      <c r="A244" s="57">
        <v>45848</v>
      </c>
      <c r="B244" s="51" t="s">
        <v>91</v>
      </c>
      <c r="C244" s="58">
        <v>0.3125</v>
      </c>
      <c r="D244" s="58">
        <v>0.31944444444444442</v>
      </c>
      <c r="E244" s="39">
        <f t="shared" si="10"/>
        <v>9.9999999999999645</v>
      </c>
      <c r="F244" s="51" t="s">
        <v>198</v>
      </c>
      <c r="G244" s="51" t="s">
        <v>383</v>
      </c>
      <c r="H244" s="51"/>
      <c r="I244" s="51" t="s">
        <v>23</v>
      </c>
    </row>
    <row r="245" spans="1:9" x14ac:dyDescent="0.25">
      <c r="A245" s="57">
        <v>45848</v>
      </c>
      <c r="B245" s="51" t="s">
        <v>91</v>
      </c>
      <c r="C245" s="58">
        <v>0.31944444444444442</v>
      </c>
      <c r="D245" s="58">
        <v>0.33333333333333331</v>
      </c>
      <c r="E245" s="39">
        <f t="shared" si="10"/>
        <v>20.000000000000007</v>
      </c>
      <c r="F245" s="51" t="s">
        <v>198</v>
      </c>
      <c r="G245" s="51" t="s">
        <v>384</v>
      </c>
      <c r="H245" s="51"/>
      <c r="I245" s="51" t="s">
        <v>23</v>
      </c>
    </row>
    <row r="246" spans="1:9" x14ac:dyDescent="0.25">
      <c r="A246" s="57">
        <v>45848</v>
      </c>
      <c r="B246" s="51" t="s">
        <v>91</v>
      </c>
      <c r="C246" s="58">
        <v>0.33333333333333331</v>
      </c>
      <c r="D246" s="58">
        <v>0.34375</v>
      </c>
      <c r="E246" s="39">
        <f t="shared" si="10"/>
        <v>15.000000000000027</v>
      </c>
      <c r="F246" s="51" t="s">
        <v>198</v>
      </c>
      <c r="G246" s="51" t="s">
        <v>385</v>
      </c>
      <c r="H246" s="51"/>
      <c r="I246" s="51" t="s">
        <v>23</v>
      </c>
    </row>
    <row r="247" spans="1:9" x14ac:dyDescent="0.25">
      <c r="A247" s="57">
        <v>45848</v>
      </c>
      <c r="B247" s="51" t="s">
        <v>91</v>
      </c>
      <c r="C247" s="58">
        <v>0.34375</v>
      </c>
      <c r="D247" s="58">
        <v>0.3576388888888889</v>
      </c>
      <c r="E247" s="39">
        <f t="shared" si="10"/>
        <v>20.000000000000007</v>
      </c>
      <c r="F247" s="51" t="s">
        <v>198</v>
      </c>
      <c r="G247" s="51" t="s">
        <v>386</v>
      </c>
      <c r="H247" s="63"/>
      <c r="I247" s="51" t="s">
        <v>23</v>
      </c>
    </row>
    <row r="248" spans="1:9" x14ac:dyDescent="0.25">
      <c r="A248" s="57">
        <v>45848</v>
      </c>
      <c r="B248" s="51" t="s">
        <v>91</v>
      </c>
      <c r="C248" s="58">
        <v>0.3576388888888889</v>
      </c>
      <c r="D248" s="58">
        <v>0.36458333333333331</v>
      </c>
      <c r="E248" s="39">
        <f t="shared" si="10"/>
        <v>9.9999999999999645</v>
      </c>
      <c r="F248" s="51" t="s">
        <v>198</v>
      </c>
      <c r="G248" s="51" t="s">
        <v>352</v>
      </c>
      <c r="H248" s="51"/>
      <c r="I248" s="51" t="s">
        <v>23</v>
      </c>
    </row>
    <row r="249" spans="1:9" x14ac:dyDescent="0.25">
      <c r="A249" s="57">
        <v>45848</v>
      </c>
      <c r="B249" s="51" t="s">
        <v>91</v>
      </c>
      <c r="C249" s="58">
        <v>0.36458333333333331</v>
      </c>
      <c r="D249" s="58">
        <v>0.37152777777777779</v>
      </c>
      <c r="E249" s="39">
        <f t="shared" si="10"/>
        <v>10.000000000000044</v>
      </c>
      <c r="F249" s="51" t="s">
        <v>198</v>
      </c>
      <c r="G249" s="51" t="s">
        <v>387</v>
      </c>
      <c r="H249" s="51"/>
      <c r="I249" s="51" t="s">
        <v>23</v>
      </c>
    </row>
    <row r="250" spans="1:9" x14ac:dyDescent="0.25">
      <c r="A250" s="57">
        <v>45848</v>
      </c>
      <c r="B250" s="51" t="s">
        <v>91</v>
      </c>
      <c r="C250" s="58">
        <v>0.37152777777777779</v>
      </c>
      <c r="D250" s="58">
        <v>0.4375</v>
      </c>
      <c r="E250" s="39">
        <f t="shared" si="10"/>
        <v>94.999999999999986</v>
      </c>
      <c r="F250" s="51" t="s">
        <v>198</v>
      </c>
      <c r="G250" s="51" t="s">
        <v>388</v>
      </c>
      <c r="H250" s="51"/>
      <c r="I250" s="51" t="s">
        <v>23</v>
      </c>
    </row>
    <row r="251" spans="1:9" x14ac:dyDescent="0.25">
      <c r="A251" s="57">
        <v>45848</v>
      </c>
      <c r="B251" s="51" t="s">
        <v>91</v>
      </c>
      <c r="C251" s="58">
        <v>0.4375</v>
      </c>
      <c r="D251" s="58">
        <v>0.45833333333333331</v>
      </c>
      <c r="E251" s="39">
        <f t="shared" si="10"/>
        <v>29.999999999999972</v>
      </c>
      <c r="F251" s="51" t="s">
        <v>198</v>
      </c>
      <c r="G251" s="51" t="s">
        <v>225</v>
      </c>
      <c r="H251" s="51"/>
      <c r="I251" s="51" t="s">
        <v>23</v>
      </c>
    </row>
    <row r="252" spans="1:9" ht="23.4" x14ac:dyDescent="0.25">
      <c r="A252" s="57">
        <v>45848</v>
      </c>
      <c r="B252" s="51" t="s">
        <v>91</v>
      </c>
      <c r="C252" s="58">
        <v>0.45833333333333331</v>
      </c>
      <c r="D252" s="58">
        <v>0.4826388888888889</v>
      </c>
      <c r="E252" s="39">
        <f t="shared" si="10"/>
        <v>35.000000000000036</v>
      </c>
      <c r="F252" s="51" t="s">
        <v>198</v>
      </c>
      <c r="G252" s="51" t="s">
        <v>389</v>
      </c>
      <c r="H252" s="51"/>
      <c r="I252" s="51" t="s">
        <v>23</v>
      </c>
    </row>
    <row r="253" spans="1:9" x14ac:dyDescent="0.25">
      <c r="A253" s="57">
        <v>45848</v>
      </c>
      <c r="B253" s="51" t="s">
        <v>91</v>
      </c>
      <c r="C253" s="58">
        <v>0.4826388888888889</v>
      </c>
      <c r="D253" s="58">
        <v>0.5</v>
      </c>
      <c r="E253" s="39">
        <f>(D253-C253)*1440</f>
        <v>24.999999999999993</v>
      </c>
      <c r="F253" s="51" t="s">
        <v>198</v>
      </c>
      <c r="G253" s="51" t="s">
        <v>390</v>
      </c>
      <c r="H253" s="51"/>
      <c r="I253" s="51" t="s">
        <v>23</v>
      </c>
    </row>
    <row r="254" spans="1:9" x14ac:dyDescent="0.25">
      <c r="A254" s="57">
        <v>45848</v>
      </c>
      <c r="B254" s="51" t="s">
        <v>91</v>
      </c>
      <c r="C254" s="58">
        <v>0.5</v>
      </c>
      <c r="D254" s="58">
        <v>0.5625</v>
      </c>
      <c r="E254" s="39">
        <f t="shared" si="10"/>
        <v>90</v>
      </c>
      <c r="F254" s="51" t="s">
        <v>198</v>
      </c>
      <c r="G254" s="51" t="s">
        <v>391</v>
      </c>
      <c r="H254" s="51"/>
      <c r="I254" s="51" t="s">
        <v>23</v>
      </c>
    </row>
    <row r="255" spans="1:9" x14ac:dyDescent="0.25">
      <c r="A255" s="57">
        <v>45848</v>
      </c>
      <c r="B255" s="51" t="s">
        <v>91</v>
      </c>
      <c r="C255" s="58">
        <v>0.5625</v>
      </c>
      <c r="D255" s="58">
        <v>0.58333333333333337</v>
      </c>
      <c r="E255" s="39">
        <f>(D255-C255)*1440</f>
        <v>30.000000000000053</v>
      </c>
      <c r="F255" s="51" t="s">
        <v>198</v>
      </c>
      <c r="G255" s="51" t="s">
        <v>35</v>
      </c>
      <c r="H255" s="51"/>
      <c r="I255" s="51" t="s">
        <v>23</v>
      </c>
    </row>
    <row r="256" spans="1:9" x14ac:dyDescent="0.25">
      <c r="A256" s="57">
        <v>45848</v>
      </c>
      <c r="B256" s="51" t="s">
        <v>91</v>
      </c>
      <c r="C256" s="58">
        <v>0.58333333333333337</v>
      </c>
      <c r="D256" s="58">
        <v>0.60416666666666663</v>
      </c>
      <c r="E256" s="39">
        <f t="shared" si="10"/>
        <v>29.999999999999893</v>
      </c>
      <c r="F256" s="51" t="s">
        <v>198</v>
      </c>
      <c r="G256" s="51" t="s">
        <v>392</v>
      </c>
      <c r="H256" s="51"/>
      <c r="I256" s="51"/>
    </row>
    <row r="257" spans="1:9" x14ac:dyDescent="0.25">
      <c r="A257" s="57">
        <v>45848</v>
      </c>
      <c r="B257" s="51" t="s">
        <v>91</v>
      </c>
      <c r="C257" s="58">
        <v>0.60416666666666663</v>
      </c>
      <c r="D257" s="58">
        <v>0.61458333333333337</v>
      </c>
      <c r="E257" s="39">
        <f t="shared" si="10"/>
        <v>15.000000000000107</v>
      </c>
      <c r="F257" s="51" t="s">
        <v>198</v>
      </c>
      <c r="G257" s="51" t="s">
        <v>393</v>
      </c>
      <c r="H257" s="51"/>
      <c r="I257" s="51"/>
    </row>
    <row r="258" spans="1:9" x14ac:dyDescent="0.25">
      <c r="A258" s="57">
        <v>45848</v>
      </c>
      <c r="B258" s="51" t="s">
        <v>91</v>
      </c>
      <c r="C258" s="58">
        <v>0.61458333333333337</v>
      </c>
      <c r="D258" s="58">
        <v>0.70833333333333337</v>
      </c>
      <c r="E258" s="39">
        <f t="shared" si="10"/>
        <v>135</v>
      </c>
      <c r="F258" s="51" t="s">
        <v>198</v>
      </c>
      <c r="G258" s="51" t="s">
        <v>388</v>
      </c>
      <c r="H258" s="51"/>
      <c r="I258" s="51"/>
    </row>
    <row r="259" spans="1:9" x14ac:dyDescent="0.25">
      <c r="A259" s="57">
        <v>45848</v>
      </c>
      <c r="B259" s="51" t="s">
        <v>91</v>
      </c>
      <c r="C259" s="58">
        <v>0.70833333333333337</v>
      </c>
      <c r="D259" s="58">
        <v>0.77083333333333337</v>
      </c>
      <c r="E259" s="39">
        <f t="shared" si="10"/>
        <v>90</v>
      </c>
      <c r="F259" s="51" t="s">
        <v>198</v>
      </c>
      <c r="G259" s="51" t="s">
        <v>394</v>
      </c>
      <c r="H259" s="51"/>
      <c r="I259" s="51"/>
    </row>
    <row r="260" spans="1:9" x14ac:dyDescent="0.25">
      <c r="A260" s="57">
        <v>45848</v>
      </c>
      <c r="B260" s="51" t="s">
        <v>91</v>
      </c>
      <c r="C260" s="58">
        <v>0.77083333333333337</v>
      </c>
      <c r="D260" s="58">
        <v>0.8125</v>
      </c>
      <c r="E260" s="39">
        <f t="shared" si="10"/>
        <v>59.999999999999943</v>
      </c>
      <c r="F260" s="51" t="s">
        <v>198</v>
      </c>
      <c r="G260" s="51" t="s">
        <v>395</v>
      </c>
      <c r="H260" s="51"/>
      <c r="I260" s="51"/>
    </row>
    <row r="261" spans="1:9" x14ac:dyDescent="0.25">
      <c r="A261" s="57">
        <v>45848</v>
      </c>
      <c r="B261" s="51" t="s">
        <v>91</v>
      </c>
      <c r="C261" s="58">
        <v>0.8125</v>
      </c>
      <c r="D261" s="58">
        <v>0.83333333333333337</v>
      </c>
      <c r="E261" s="39">
        <f t="shared" si="10"/>
        <v>30.000000000000053</v>
      </c>
      <c r="F261" s="51" t="s">
        <v>198</v>
      </c>
      <c r="G261" s="51" t="s">
        <v>396</v>
      </c>
      <c r="H261" s="51"/>
      <c r="I261" s="51"/>
    </row>
    <row r="262" spans="1:9" x14ac:dyDescent="0.25">
      <c r="A262" s="35"/>
      <c r="B262" s="53"/>
      <c r="C262" s="35"/>
      <c r="D262" s="35"/>
      <c r="E262" s="35"/>
      <c r="F262" s="53"/>
      <c r="G262" s="35"/>
      <c r="H262" s="35"/>
      <c r="I262" s="35"/>
    </row>
    <row r="263" spans="1:9" x14ac:dyDescent="0.25">
      <c r="A263" s="19" t="s">
        <v>1</v>
      </c>
      <c r="B263" s="19" t="s">
        <v>2</v>
      </c>
      <c r="C263" s="54" t="s">
        <v>3</v>
      </c>
      <c r="D263" s="55"/>
      <c r="E263" s="19" t="s">
        <v>4</v>
      </c>
      <c r="F263" s="19" t="s">
        <v>5</v>
      </c>
      <c r="G263" s="19" t="s">
        <v>6</v>
      </c>
      <c r="H263" s="19" t="s">
        <v>7</v>
      </c>
      <c r="I263" s="19" t="s">
        <v>8</v>
      </c>
    </row>
    <row r="264" spans="1:9" x14ac:dyDescent="0.25">
      <c r="A264" s="56"/>
      <c r="B264" s="56"/>
      <c r="C264" s="51" t="s">
        <v>9</v>
      </c>
      <c r="D264" s="51" t="s">
        <v>10</v>
      </c>
      <c r="E264" s="56"/>
      <c r="F264" s="56"/>
      <c r="G264" s="56"/>
      <c r="H264" s="56"/>
      <c r="I264" s="56"/>
    </row>
    <row r="265" spans="1:9" x14ac:dyDescent="0.25">
      <c r="A265" s="57">
        <v>45849</v>
      </c>
      <c r="B265" s="51" t="s">
        <v>93</v>
      </c>
      <c r="C265" s="58">
        <v>0.33333333333333331</v>
      </c>
      <c r="D265" s="58">
        <v>0.34027777777777779</v>
      </c>
      <c r="E265" s="39">
        <f t="shared" ref="E265:E275" si="11">(D265-C265)*1440</f>
        <v>10.000000000000044</v>
      </c>
      <c r="F265" s="51" t="s">
        <v>198</v>
      </c>
      <c r="G265" s="51" t="s">
        <v>397</v>
      </c>
      <c r="H265" s="51"/>
      <c r="I265" s="51" t="s">
        <v>23</v>
      </c>
    </row>
    <row r="266" spans="1:9" x14ac:dyDescent="0.25">
      <c r="A266" s="57">
        <v>45849</v>
      </c>
      <c r="B266" s="51" t="s">
        <v>93</v>
      </c>
      <c r="C266" s="58">
        <v>0.34027777777777779</v>
      </c>
      <c r="D266" s="58">
        <v>0.34722222222222221</v>
      </c>
      <c r="E266" s="39">
        <f t="shared" si="11"/>
        <v>9.9999999999999645</v>
      </c>
      <c r="F266" s="51" t="s">
        <v>198</v>
      </c>
      <c r="G266" s="51" t="s">
        <v>398</v>
      </c>
      <c r="H266" s="51"/>
      <c r="I266" s="51"/>
    </row>
    <row r="267" spans="1:9" x14ac:dyDescent="0.25">
      <c r="A267" s="57">
        <v>45849</v>
      </c>
      <c r="B267" s="51" t="s">
        <v>93</v>
      </c>
      <c r="C267" s="58">
        <v>0.34722222222222221</v>
      </c>
      <c r="D267" s="58">
        <v>0.35416666666666669</v>
      </c>
      <c r="E267" s="39">
        <f t="shared" si="11"/>
        <v>10.000000000000044</v>
      </c>
      <c r="F267" s="51" t="s">
        <v>198</v>
      </c>
      <c r="G267" s="51" t="s">
        <v>399</v>
      </c>
      <c r="H267" s="51"/>
      <c r="I267" s="51" t="s">
        <v>23</v>
      </c>
    </row>
    <row r="268" spans="1:9" x14ac:dyDescent="0.25">
      <c r="A268" s="57">
        <v>45849</v>
      </c>
      <c r="B268" s="51" t="s">
        <v>93</v>
      </c>
      <c r="C268" s="58">
        <v>0.35416666666666669</v>
      </c>
      <c r="D268" s="58">
        <v>0.36458333333333331</v>
      </c>
      <c r="E268" s="39">
        <f t="shared" si="11"/>
        <v>14.999999999999947</v>
      </c>
      <c r="F268" s="51" t="s">
        <v>198</v>
      </c>
      <c r="G268" s="51" t="s">
        <v>400</v>
      </c>
      <c r="H268" s="51"/>
      <c r="I268" s="51" t="s">
        <v>23</v>
      </c>
    </row>
    <row r="269" spans="1:9" x14ac:dyDescent="0.25">
      <c r="A269" s="57">
        <v>45849</v>
      </c>
      <c r="B269" s="51" t="s">
        <v>93</v>
      </c>
      <c r="C269" s="58">
        <v>0.36458333333333331</v>
      </c>
      <c r="D269" s="58">
        <v>0.3888888888888889</v>
      </c>
      <c r="E269" s="39">
        <f t="shared" si="11"/>
        <v>35.000000000000036</v>
      </c>
      <c r="F269" s="51" t="s">
        <v>198</v>
      </c>
      <c r="G269" s="51" t="s">
        <v>401</v>
      </c>
      <c r="H269" s="51"/>
      <c r="I269" s="51" t="s">
        <v>23</v>
      </c>
    </row>
    <row r="270" spans="1:9" x14ac:dyDescent="0.25">
      <c r="A270" s="57">
        <v>45849</v>
      </c>
      <c r="B270" s="51" t="s">
        <v>93</v>
      </c>
      <c r="C270" s="58">
        <v>0.3888888888888889</v>
      </c>
      <c r="D270" s="58">
        <v>0.40277777777777779</v>
      </c>
      <c r="E270" s="39">
        <f t="shared" si="11"/>
        <v>20.000000000000007</v>
      </c>
      <c r="F270" s="51" t="s">
        <v>198</v>
      </c>
      <c r="G270" s="51" t="s">
        <v>402</v>
      </c>
      <c r="H270" s="63"/>
      <c r="I270" s="51" t="s">
        <v>23</v>
      </c>
    </row>
    <row r="271" spans="1:9" x14ac:dyDescent="0.25">
      <c r="A271" s="57">
        <v>45849</v>
      </c>
      <c r="B271" s="51" t="s">
        <v>93</v>
      </c>
      <c r="C271" s="58">
        <v>0.40277777777777779</v>
      </c>
      <c r="D271" s="58">
        <v>0.44444444444444442</v>
      </c>
      <c r="E271" s="39">
        <f t="shared" si="11"/>
        <v>59.999999999999943</v>
      </c>
      <c r="F271" s="51" t="s">
        <v>198</v>
      </c>
      <c r="G271" s="51" t="s">
        <v>403</v>
      </c>
      <c r="H271" s="51"/>
      <c r="I271" s="51" t="s">
        <v>23</v>
      </c>
    </row>
    <row r="272" spans="1:9" ht="23.4" x14ac:dyDescent="0.25">
      <c r="A272" s="57">
        <v>45849</v>
      </c>
      <c r="B272" s="51" t="s">
        <v>93</v>
      </c>
      <c r="C272" s="58">
        <v>0.44444444444444442</v>
      </c>
      <c r="D272" s="58">
        <v>0.47222222222222221</v>
      </c>
      <c r="E272" s="39">
        <f t="shared" si="11"/>
        <v>40.000000000000014</v>
      </c>
      <c r="F272" s="51" t="s">
        <v>198</v>
      </c>
      <c r="G272" s="51" t="s">
        <v>404</v>
      </c>
      <c r="H272" s="51"/>
      <c r="I272" s="51" t="s">
        <v>23</v>
      </c>
    </row>
    <row r="273" spans="1:9" x14ac:dyDescent="0.25">
      <c r="A273" s="57">
        <v>45849</v>
      </c>
      <c r="B273" s="51" t="s">
        <v>93</v>
      </c>
      <c r="C273" s="58">
        <v>0.47222222222222221</v>
      </c>
      <c r="D273" s="58">
        <v>0.5</v>
      </c>
      <c r="E273" s="39">
        <f t="shared" si="11"/>
        <v>40.000000000000014</v>
      </c>
      <c r="F273" s="51" t="s">
        <v>198</v>
      </c>
      <c r="G273" s="51" t="s">
        <v>405</v>
      </c>
      <c r="H273" s="51"/>
      <c r="I273" s="51" t="s">
        <v>23</v>
      </c>
    </row>
    <row r="274" spans="1:9" x14ac:dyDescent="0.25">
      <c r="A274" s="57">
        <v>45849</v>
      </c>
      <c r="B274" s="51" t="s">
        <v>93</v>
      </c>
      <c r="C274" s="58">
        <v>0.5</v>
      </c>
      <c r="D274" s="58">
        <v>0.54166666666666663</v>
      </c>
      <c r="E274" s="39">
        <f t="shared" si="11"/>
        <v>59.999999999999943</v>
      </c>
      <c r="F274" s="51" t="s">
        <v>198</v>
      </c>
      <c r="G274" s="51" t="s">
        <v>406</v>
      </c>
      <c r="H274" s="51"/>
      <c r="I274" s="51" t="s">
        <v>23</v>
      </c>
    </row>
    <row r="275" spans="1:9" x14ac:dyDescent="0.25">
      <c r="A275" s="57">
        <v>45849</v>
      </c>
      <c r="B275" s="51" t="s">
        <v>93</v>
      </c>
      <c r="C275" s="58">
        <v>0.54166666666666663</v>
      </c>
      <c r="D275" s="58">
        <v>0.5625</v>
      </c>
      <c r="E275" s="39">
        <f t="shared" si="11"/>
        <v>30.000000000000053</v>
      </c>
      <c r="F275" s="51" t="s">
        <v>198</v>
      </c>
      <c r="G275" s="51" t="s">
        <v>407</v>
      </c>
      <c r="H275" s="51"/>
      <c r="I275" s="51" t="s">
        <v>23</v>
      </c>
    </row>
    <row r="276" spans="1:9" x14ac:dyDescent="0.25">
      <c r="A276" s="57">
        <v>45849</v>
      </c>
      <c r="B276" s="51" t="s">
        <v>93</v>
      </c>
      <c r="C276" s="58">
        <v>0.5625</v>
      </c>
      <c r="D276" s="58">
        <v>0.57638888888888884</v>
      </c>
      <c r="E276" s="39">
        <f>(D276-C276)*1440</f>
        <v>19.999999999999929</v>
      </c>
      <c r="F276" s="51" t="s">
        <v>198</v>
      </c>
      <c r="G276" s="51" t="s">
        <v>408</v>
      </c>
      <c r="H276" s="51"/>
      <c r="I276" s="51" t="s">
        <v>23</v>
      </c>
    </row>
    <row r="277" spans="1:9" x14ac:dyDescent="0.25">
      <c r="A277" s="57">
        <v>45849</v>
      </c>
      <c r="B277" s="51" t="s">
        <v>93</v>
      </c>
      <c r="C277" s="58">
        <v>0.57638888888888884</v>
      </c>
      <c r="D277" s="58">
        <v>0.59722222222222221</v>
      </c>
      <c r="E277" s="39">
        <f t="shared" ref="E277" si="12">(D277-C277)*1440</f>
        <v>30.000000000000053</v>
      </c>
      <c r="F277" s="51" t="s">
        <v>198</v>
      </c>
      <c r="G277" s="51" t="s">
        <v>409</v>
      </c>
      <c r="H277" s="51"/>
      <c r="I277" s="51" t="s">
        <v>23</v>
      </c>
    </row>
    <row r="278" spans="1:9" x14ac:dyDescent="0.25">
      <c r="A278" s="57">
        <v>45849</v>
      </c>
      <c r="B278" s="51" t="s">
        <v>93</v>
      </c>
      <c r="C278" s="58">
        <v>0.59722222222222221</v>
      </c>
      <c r="D278" s="58">
        <v>0.60416666666666663</v>
      </c>
      <c r="E278" s="39">
        <f>(D278-C278)*1440</f>
        <v>9.9999999999999645</v>
      </c>
      <c r="F278" s="51" t="s">
        <v>198</v>
      </c>
      <c r="G278" s="51" t="s">
        <v>410</v>
      </c>
      <c r="H278" s="51"/>
      <c r="I278" s="51" t="s">
        <v>23</v>
      </c>
    </row>
    <row r="279" spans="1:9" x14ac:dyDescent="0.25">
      <c r="A279" s="57">
        <v>45849</v>
      </c>
      <c r="B279" s="51" t="s">
        <v>93</v>
      </c>
      <c r="C279" s="58">
        <v>0.60416666666666663</v>
      </c>
      <c r="D279" s="58">
        <v>0.61458333333333337</v>
      </c>
      <c r="E279" s="39">
        <f t="shared" ref="E279:E283" si="13">(D279-C279)*1440</f>
        <v>15.000000000000107</v>
      </c>
      <c r="F279" s="51" t="s">
        <v>198</v>
      </c>
      <c r="G279" s="51" t="s">
        <v>411</v>
      </c>
      <c r="H279" s="51"/>
      <c r="I279" s="51"/>
    </row>
    <row r="280" spans="1:9" x14ac:dyDescent="0.25">
      <c r="A280" s="57">
        <v>45849</v>
      </c>
      <c r="B280" s="51" t="s">
        <v>93</v>
      </c>
      <c r="C280" s="58">
        <v>0.61458333333333337</v>
      </c>
      <c r="D280" s="58">
        <v>0.64236111111111116</v>
      </c>
      <c r="E280" s="39">
        <f t="shared" si="13"/>
        <v>40.000000000000014</v>
      </c>
      <c r="F280" s="51" t="s">
        <v>198</v>
      </c>
      <c r="G280" s="51" t="s">
        <v>412</v>
      </c>
      <c r="H280" s="51"/>
      <c r="I280" s="51"/>
    </row>
    <row r="281" spans="1:9" x14ac:dyDescent="0.25">
      <c r="A281" s="57">
        <v>45849</v>
      </c>
      <c r="B281" s="51" t="s">
        <v>93</v>
      </c>
      <c r="C281" s="58">
        <v>0.64236111111111116</v>
      </c>
      <c r="D281" s="58">
        <v>0.65625</v>
      </c>
      <c r="E281" s="39">
        <f t="shared" si="13"/>
        <v>19.999999999999929</v>
      </c>
      <c r="F281" s="51" t="s">
        <v>198</v>
      </c>
      <c r="G281" s="51" t="s">
        <v>413</v>
      </c>
      <c r="H281" s="51"/>
      <c r="I281" s="51"/>
    </row>
    <row r="282" spans="1:9" x14ac:dyDescent="0.25">
      <c r="A282" s="57">
        <v>45849</v>
      </c>
      <c r="B282" s="51" t="s">
        <v>93</v>
      </c>
      <c r="C282" s="58">
        <v>0.65625</v>
      </c>
      <c r="D282" s="58">
        <v>0.70833333333333337</v>
      </c>
      <c r="E282" s="39">
        <f t="shared" si="13"/>
        <v>75.000000000000057</v>
      </c>
      <c r="F282" s="51" t="s">
        <v>198</v>
      </c>
      <c r="G282" s="51" t="s">
        <v>414</v>
      </c>
      <c r="H282" s="51"/>
      <c r="I282" s="51"/>
    </row>
    <row r="283" spans="1:9" x14ac:dyDescent="0.25">
      <c r="A283" s="57">
        <v>45849</v>
      </c>
      <c r="B283" s="51" t="s">
        <v>93</v>
      </c>
      <c r="C283" s="58">
        <v>0.66666666666666663</v>
      </c>
      <c r="D283" s="58">
        <v>0.6875</v>
      </c>
      <c r="E283" s="39">
        <f t="shared" si="13"/>
        <v>30.000000000000053</v>
      </c>
      <c r="F283" s="51" t="s">
        <v>198</v>
      </c>
      <c r="G283" s="51" t="s">
        <v>406</v>
      </c>
      <c r="H283" s="51"/>
      <c r="I283" s="51"/>
    </row>
    <row r="284" spans="1:9" x14ac:dyDescent="0.25">
      <c r="A284" s="57">
        <v>45849</v>
      </c>
      <c r="B284" s="51" t="s">
        <v>93</v>
      </c>
      <c r="C284" s="58">
        <v>0.6875</v>
      </c>
      <c r="D284" s="58">
        <v>0.72916666666666663</v>
      </c>
      <c r="E284" s="39">
        <f>(D284-C284)*1440</f>
        <v>59.999999999999943</v>
      </c>
      <c r="F284" s="51" t="s">
        <v>198</v>
      </c>
      <c r="G284" s="51" t="s">
        <v>415</v>
      </c>
      <c r="H284" s="51"/>
      <c r="I284" s="51"/>
    </row>
    <row r="285" spans="1:9" x14ac:dyDescent="0.25">
      <c r="A285" s="57">
        <v>45849</v>
      </c>
      <c r="B285" s="51" t="s">
        <v>93</v>
      </c>
      <c r="C285" s="58">
        <v>0.72916666666666663</v>
      </c>
      <c r="D285" s="58">
        <v>0.77083333333333337</v>
      </c>
      <c r="E285" s="39">
        <f>(D285-C285)*1440</f>
        <v>60.000000000000107</v>
      </c>
      <c r="F285" s="51" t="s">
        <v>198</v>
      </c>
      <c r="G285" s="51" t="s">
        <v>416</v>
      </c>
      <c r="H285" s="51"/>
      <c r="I285" s="51"/>
    </row>
    <row r="286" spans="1:9" x14ac:dyDescent="0.25">
      <c r="A286" s="57">
        <v>45849</v>
      </c>
      <c r="B286" s="51" t="s">
        <v>93</v>
      </c>
      <c r="C286" s="58">
        <v>0.77083333333333337</v>
      </c>
      <c r="D286" s="58">
        <v>0.8125</v>
      </c>
      <c r="E286" s="39">
        <f>(D286-C286)*1440</f>
        <v>59.999999999999943</v>
      </c>
      <c r="F286" s="51" t="s">
        <v>198</v>
      </c>
      <c r="G286" s="51" t="s">
        <v>417</v>
      </c>
      <c r="H286" s="51"/>
      <c r="I286" s="51"/>
    </row>
    <row r="287" spans="1:9" x14ac:dyDescent="0.25">
      <c r="A287" s="57">
        <v>45849</v>
      </c>
      <c r="B287" s="51" t="s">
        <v>93</v>
      </c>
      <c r="C287" s="58">
        <v>0.8125</v>
      </c>
      <c r="D287" s="58">
        <v>0.875</v>
      </c>
      <c r="E287" s="39">
        <f>(D287-C287)*1440</f>
        <v>90</v>
      </c>
      <c r="F287" s="51" t="s">
        <v>198</v>
      </c>
      <c r="G287" s="51" t="s">
        <v>414</v>
      </c>
      <c r="H287" s="51"/>
      <c r="I287" s="51"/>
    </row>
    <row r="288" spans="1:9" x14ac:dyDescent="0.25">
      <c r="A288" s="35"/>
      <c r="B288" s="53"/>
      <c r="C288" s="35"/>
      <c r="D288" s="35"/>
      <c r="E288" s="35"/>
      <c r="F288" s="53"/>
      <c r="G288" s="35"/>
      <c r="H288" s="35"/>
      <c r="I288" s="35"/>
    </row>
    <row r="289" spans="1:9" s="67" customFormat="1" ht="35.4" x14ac:dyDescent="0.6">
      <c r="A289" s="64" t="s">
        <v>418</v>
      </c>
      <c r="B289" s="65"/>
      <c r="C289" s="65"/>
      <c r="D289" s="65"/>
      <c r="E289" s="65"/>
      <c r="F289" s="65"/>
      <c r="G289" s="65"/>
      <c r="H289" s="65"/>
      <c r="I289" s="66"/>
    </row>
    <row r="290" spans="1:9" x14ac:dyDescent="0.25">
      <c r="A290" s="35"/>
      <c r="B290" s="53"/>
      <c r="C290" s="35"/>
      <c r="D290" s="35"/>
      <c r="E290" s="35"/>
      <c r="F290" s="53"/>
      <c r="G290" s="35"/>
      <c r="H290" s="35"/>
      <c r="I290" s="35"/>
    </row>
    <row r="291" spans="1:9" x14ac:dyDescent="0.25">
      <c r="A291" s="19" t="s">
        <v>1</v>
      </c>
      <c r="B291" s="19" t="s">
        <v>2</v>
      </c>
      <c r="C291" s="54" t="s">
        <v>3</v>
      </c>
      <c r="D291" s="55"/>
      <c r="E291" s="19" t="s">
        <v>4</v>
      </c>
      <c r="F291" s="19" t="s">
        <v>5</v>
      </c>
      <c r="G291" s="19" t="s">
        <v>6</v>
      </c>
      <c r="H291" s="19" t="s">
        <v>7</v>
      </c>
      <c r="I291" s="19" t="s">
        <v>8</v>
      </c>
    </row>
    <row r="292" spans="1:9" x14ac:dyDescent="0.25">
      <c r="A292" s="56"/>
      <c r="B292" s="56"/>
      <c r="C292" s="51" t="s">
        <v>9</v>
      </c>
      <c r="D292" s="51" t="s">
        <v>10</v>
      </c>
      <c r="E292" s="56"/>
      <c r="F292" s="56"/>
      <c r="G292" s="56"/>
      <c r="H292" s="56"/>
      <c r="I292" s="56"/>
    </row>
    <row r="293" spans="1:9" x14ac:dyDescent="0.25">
      <c r="A293" s="57">
        <v>45852</v>
      </c>
      <c r="B293" s="51" t="s">
        <v>12</v>
      </c>
      <c r="C293" s="58">
        <v>0.58333333333333337</v>
      </c>
      <c r="D293" s="58">
        <v>0.59027777777777779</v>
      </c>
      <c r="E293" s="39">
        <f t="shared" ref="E293:E311" si="14">(D293-C293)*1440</f>
        <v>9.9999999999999645</v>
      </c>
      <c r="F293" s="51" t="s">
        <v>198</v>
      </c>
      <c r="G293" s="51" t="s">
        <v>397</v>
      </c>
      <c r="H293" s="51"/>
      <c r="I293" s="51"/>
    </row>
    <row r="294" spans="1:9" x14ac:dyDescent="0.25">
      <c r="A294" s="57">
        <v>45852</v>
      </c>
      <c r="B294" s="51" t="s">
        <v>12</v>
      </c>
      <c r="C294" s="58">
        <v>0.59027777777777779</v>
      </c>
      <c r="D294" s="58">
        <v>0.59722222222222221</v>
      </c>
      <c r="E294" s="39">
        <f t="shared" si="14"/>
        <v>9.9999999999999645</v>
      </c>
      <c r="F294" s="51" t="s">
        <v>198</v>
      </c>
      <c r="G294" s="51" t="s">
        <v>419</v>
      </c>
      <c r="H294" s="51"/>
      <c r="I294" s="51"/>
    </row>
    <row r="295" spans="1:9" x14ac:dyDescent="0.25">
      <c r="A295" s="57">
        <v>45852</v>
      </c>
      <c r="B295" s="51" t="s">
        <v>12</v>
      </c>
      <c r="C295" s="58">
        <v>0.59722222222222221</v>
      </c>
      <c r="D295" s="58">
        <v>0.60763888888888884</v>
      </c>
      <c r="E295" s="39">
        <f t="shared" si="14"/>
        <v>14.999999999999947</v>
      </c>
      <c r="F295" s="51" t="s">
        <v>198</v>
      </c>
      <c r="G295" s="51" t="s">
        <v>420</v>
      </c>
      <c r="H295" s="51"/>
      <c r="I295" s="51"/>
    </row>
    <row r="296" spans="1:9" x14ac:dyDescent="0.25">
      <c r="A296" s="57">
        <v>45852</v>
      </c>
      <c r="B296" s="51" t="s">
        <v>12</v>
      </c>
      <c r="C296" s="58">
        <v>0.60763888888888884</v>
      </c>
      <c r="D296" s="58">
        <v>0.61805555555555558</v>
      </c>
      <c r="E296" s="39">
        <f t="shared" si="14"/>
        <v>15.000000000000107</v>
      </c>
      <c r="F296" s="51" t="s">
        <v>198</v>
      </c>
      <c r="G296" s="51" t="s">
        <v>421</v>
      </c>
      <c r="H296" s="51"/>
      <c r="I296" s="51"/>
    </row>
    <row r="297" spans="1:9" ht="23.4" x14ac:dyDescent="0.25">
      <c r="A297" s="57">
        <v>45852</v>
      </c>
      <c r="B297" s="51" t="s">
        <v>12</v>
      </c>
      <c r="C297" s="58">
        <v>0.61805555555555558</v>
      </c>
      <c r="D297" s="58">
        <v>0.68402777777777779</v>
      </c>
      <c r="E297" s="39">
        <f t="shared" si="14"/>
        <v>94.999999999999986</v>
      </c>
      <c r="F297" s="51" t="s">
        <v>198</v>
      </c>
      <c r="G297" s="51" t="s">
        <v>422</v>
      </c>
      <c r="H297" s="51"/>
      <c r="I297" s="51"/>
    </row>
    <row r="298" spans="1:9" x14ac:dyDescent="0.25">
      <c r="A298" s="57">
        <v>45852</v>
      </c>
      <c r="B298" s="51" t="s">
        <v>12</v>
      </c>
      <c r="C298" s="58">
        <v>0.68402777777777779</v>
      </c>
      <c r="D298" s="58">
        <v>0.69444444444444442</v>
      </c>
      <c r="E298" s="39">
        <f t="shared" si="14"/>
        <v>14.999999999999947</v>
      </c>
      <c r="F298" s="51" t="s">
        <v>198</v>
      </c>
      <c r="G298" s="51" t="s">
        <v>423</v>
      </c>
      <c r="H298" s="51"/>
      <c r="I298" s="51"/>
    </row>
    <row r="299" spans="1:9" x14ac:dyDescent="0.25">
      <c r="A299" s="57">
        <v>45852</v>
      </c>
      <c r="B299" s="51" t="s">
        <v>12</v>
      </c>
      <c r="C299" s="58">
        <v>0.69444444444444442</v>
      </c>
      <c r="D299" s="58">
        <v>0.70486111111111116</v>
      </c>
      <c r="E299" s="39">
        <f t="shared" si="14"/>
        <v>15.000000000000107</v>
      </c>
      <c r="F299" s="51" t="s">
        <v>198</v>
      </c>
      <c r="G299" s="51" t="s">
        <v>424</v>
      </c>
      <c r="H299" s="51"/>
      <c r="I299" s="51"/>
    </row>
    <row r="300" spans="1:9" x14ac:dyDescent="0.25">
      <c r="A300" s="57">
        <v>45852</v>
      </c>
      <c r="B300" s="51" t="s">
        <v>12</v>
      </c>
      <c r="C300" s="58">
        <v>0.70486111111111116</v>
      </c>
      <c r="D300" s="58">
        <v>0.72569444444444442</v>
      </c>
      <c r="E300" s="39">
        <f t="shared" si="14"/>
        <v>29.999999999999893</v>
      </c>
      <c r="F300" s="51" t="s">
        <v>198</v>
      </c>
      <c r="G300" s="51" t="s">
        <v>425</v>
      </c>
      <c r="H300" s="51"/>
      <c r="I300" s="51"/>
    </row>
    <row r="301" spans="1:9" x14ac:dyDescent="0.25">
      <c r="A301" s="57">
        <v>45852</v>
      </c>
      <c r="B301" s="51" t="s">
        <v>12</v>
      </c>
      <c r="C301" s="58">
        <v>0.72569444444444442</v>
      </c>
      <c r="D301" s="58">
        <v>0.74652777777777779</v>
      </c>
      <c r="E301" s="39">
        <f t="shared" si="14"/>
        <v>30.000000000000053</v>
      </c>
      <c r="F301" s="51" t="s">
        <v>198</v>
      </c>
      <c r="G301" s="51" t="s">
        <v>426</v>
      </c>
      <c r="H301" s="51"/>
      <c r="I301" s="51"/>
    </row>
    <row r="302" spans="1:9" x14ac:dyDescent="0.25">
      <c r="A302" s="57">
        <v>45852</v>
      </c>
      <c r="B302" s="51" t="s">
        <v>12</v>
      </c>
      <c r="C302" s="58">
        <v>0.74652777777777779</v>
      </c>
      <c r="D302" s="58">
        <v>0.75347222222222221</v>
      </c>
      <c r="E302" s="39">
        <f t="shared" si="14"/>
        <v>9.9999999999999645</v>
      </c>
      <c r="F302" s="51" t="s">
        <v>198</v>
      </c>
      <c r="G302" s="51" t="s">
        <v>427</v>
      </c>
      <c r="H302" s="63"/>
      <c r="I302" s="51"/>
    </row>
    <row r="303" spans="1:9" x14ac:dyDescent="0.25">
      <c r="A303" s="57">
        <v>45852</v>
      </c>
      <c r="B303" s="51" t="s">
        <v>12</v>
      </c>
      <c r="C303" s="58">
        <v>0.75347222222222221</v>
      </c>
      <c r="D303" s="58">
        <v>0.79513888888888884</v>
      </c>
      <c r="E303" s="39">
        <f t="shared" si="14"/>
        <v>59.999999999999943</v>
      </c>
      <c r="F303" s="51" t="s">
        <v>198</v>
      </c>
      <c r="G303" s="51" t="s">
        <v>225</v>
      </c>
      <c r="H303" s="51"/>
      <c r="I303" s="51"/>
    </row>
    <row r="304" spans="1:9" ht="23.4" x14ac:dyDescent="0.25">
      <c r="A304" s="57">
        <v>45852</v>
      </c>
      <c r="B304" s="51" t="s">
        <v>12</v>
      </c>
      <c r="C304" s="58">
        <v>0.79513888888888884</v>
      </c>
      <c r="D304" s="58">
        <v>0.85763888888888884</v>
      </c>
      <c r="E304" s="39">
        <f t="shared" si="14"/>
        <v>90</v>
      </c>
      <c r="F304" s="51" t="s">
        <v>198</v>
      </c>
      <c r="G304" s="51" t="s">
        <v>428</v>
      </c>
      <c r="H304" s="51"/>
      <c r="I304" s="51"/>
    </row>
    <row r="305" spans="1:9" x14ac:dyDescent="0.25">
      <c r="A305" s="57">
        <v>45852</v>
      </c>
      <c r="B305" s="51" t="s">
        <v>12</v>
      </c>
      <c r="C305" s="58">
        <v>0.85763888888888884</v>
      </c>
      <c r="D305" s="58">
        <v>0.87847222222222221</v>
      </c>
      <c r="E305" s="39">
        <f t="shared" si="14"/>
        <v>30.000000000000053</v>
      </c>
      <c r="F305" s="51" t="s">
        <v>198</v>
      </c>
      <c r="G305" s="51" t="s">
        <v>429</v>
      </c>
      <c r="H305" s="51"/>
      <c r="I305" s="51"/>
    </row>
    <row r="306" spans="1:9" ht="23.4" x14ac:dyDescent="0.25">
      <c r="A306" s="57">
        <v>45852</v>
      </c>
      <c r="B306" s="51" t="s">
        <v>12</v>
      </c>
      <c r="C306" s="58">
        <v>0.87847222222222221</v>
      </c>
      <c r="D306" s="58">
        <v>0.89930555555555558</v>
      </c>
      <c r="E306" s="39">
        <f t="shared" si="14"/>
        <v>30.000000000000053</v>
      </c>
      <c r="F306" s="51" t="s">
        <v>198</v>
      </c>
      <c r="G306" s="51" t="s">
        <v>430</v>
      </c>
      <c r="H306" s="51"/>
      <c r="I306" s="51"/>
    </row>
    <row r="307" spans="1:9" x14ac:dyDescent="0.25">
      <c r="A307" s="57">
        <v>45852</v>
      </c>
      <c r="B307" s="51" t="s">
        <v>12</v>
      </c>
      <c r="C307" s="58">
        <v>0.89930555555555558</v>
      </c>
      <c r="D307" s="58">
        <v>0.91319444444444442</v>
      </c>
      <c r="E307" s="39">
        <f t="shared" si="14"/>
        <v>19.999999999999929</v>
      </c>
      <c r="F307" s="51" t="s">
        <v>198</v>
      </c>
      <c r="G307" s="51" t="s">
        <v>431</v>
      </c>
      <c r="H307" s="51"/>
      <c r="I307" s="51"/>
    </row>
    <row r="308" spans="1:9" ht="23.4" x14ac:dyDescent="0.25">
      <c r="A308" s="57">
        <v>45852</v>
      </c>
      <c r="B308" s="51" t="s">
        <v>12</v>
      </c>
      <c r="C308" s="58">
        <v>0.91319444444444442</v>
      </c>
      <c r="D308" s="58">
        <v>0.93402777777777779</v>
      </c>
      <c r="E308" s="39">
        <f t="shared" si="14"/>
        <v>30.000000000000053</v>
      </c>
      <c r="F308" s="51" t="s">
        <v>198</v>
      </c>
      <c r="G308" s="51" t="s">
        <v>432</v>
      </c>
      <c r="H308" s="51"/>
      <c r="I308" s="51"/>
    </row>
    <row r="309" spans="1:9" ht="57.6" x14ac:dyDescent="0.25">
      <c r="A309" s="57">
        <v>45852</v>
      </c>
      <c r="B309" s="51" t="s">
        <v>12</v>
      </c>
      <c r="C309" s="58">
        <v>0.93402777777777779</v>
      </c>
      <c r="D309" s="58">
        <v>0.97569444444444442</v>
      </c>
      <c r="E309" s="39">
        <f t="shared" si="14"/>
        <v>59.999999999999943</v>
      </c>
      <c r="F309" s="51" t="s">
        <v>198</v>
      </c>
      <c r="G309" s="51" t="s">
        <v>433</v>
      </c>
      <c r="H309" s="51"/>
      <c r="I309" s="51"/>
    </row>
    <row r="310" spans="1:9" x14ac:dyDescent="0.25">
      <c r="A310" s="57">
        <v>45852</v>
      </c>
      <c r="B310" s="51" t="s">
        <v>12</v>
      </c>
      <c r="C310" s="58">
        <v>0.97569444444444442</v>
      </c>
      <c r="D310" s="58">
        <v>0.99652777777777779</v>
      </c>
      <c r="E310" s="39">
        <f t="shared" si="14"/>
        <v>30.000000000000053</v>
      </c>
      <c r="F310" s="51" t="s">
        <v>198</v>
      </c>
      <c r="G310" s="51" t="s">
        <v>434</v>
      </c>
      <c r="H310" s="51"/>
      <c r="I310" s="51"/>
    </row>
    <row r="311" spans="1:9" x14ac:dyDescent="0.25">
      <c r="A311" s="57">
        <v>45852</v>
      </c>
      <c r="B311" s="51" t="s">
        <v>12</v>
      </c>
      <c r="C311" s="58">
        <v>0.99652777777777779</v>
      </c>
      <c r="D311" s="58">
        <v>1.0138888888888888</v>
      </c>
      <c r="E311" s="39">
        <f t="shared" si="14"/>
        <v>24.999999999999911</v>
      </c>
      <c r="F311" s="51" t="s">
        <v>198</v>
      </c>
      <c r="G311" s="51" t="s">
        <v>435</v>
      </c>
      <c r="H311" s="51"/>
      <c r="I311" s="51"/>
    </row>
    <row r="312" spans="1:9" x14ac:dyDescent="0.25">
      <c r="A312" s="35"/>
      <c r="B312" s="53"/>
      <c r="C312" s="35"/>
      <c r="D312" s="35"/>
      <c r="E312" s="35"/>
      <c r="F312" s="53"/>
      <c r="G312" s="35"/>
      <c r="H312" s="35"/>
      <c r="I312" s="35"/>
    </row>
    <row r="313" spans="1:9" x14ac:dyDescent="0.25">
      <c r="A313" s="19" t="s">
        <v>1</v>
      </c>
      <c r="B313" s="19" t="s">
        <v>2</v>
      </c>
      <c r="C313" s="54" t="s">
        <v>3</v>
      </c>
      <c r="D313" s="55"/>
      <c r="E313" s="19" t="s">
        <v>4</v>
      </c>
      <c r="F313" s="19" t="s">
        <v>5</v>
      </c>
      <c r="G313" s="19" t="s">
        <v>6</v>
      </c>
      <c r="H313" s="19" t="s">
        <v>7</v>
      </c>
      <c r="I313" s="19" t="s">
        <v>8</v>
      </c>
    </row>
    <row r="314" spans="1:9" x14ac:dyDescent="0.25">
      <c r="A314" s="56"/>
      <c r="B314" s="56"/>
      <c r="C314" s="51" t="s">
        <v>9</v>
      </c>
      <c r="D314" s="51" t="s">
        <v>10</v>
      </c>
      <c r="E314" s="56"/>
      <c r="F314" s="56"/>
      <c r="G314" s="56"/>
      <c r="H314" s="56"/>
      <c r="I314" s="56"/>
    </row>
    <row r="315" spans="1:9" x14ac:dyDescent="0.25">
      <c r="A315" s="57">
        <v>45853</v>
      </c>
      <c r="B315" s="51" t="s">
        <v>59</v>
      </c>
      <c r="C315" s="58">
        <v>0.58333333333333337</v>
      </c>
      <c r="D315" s="58">
        <v>0.59027777777777779</v>
      </c>
      <c r="E315" s="39">
        <f t="shared" ref="E315:E333" si="15">(D315-C315)*1440</f>
        <v>9.9999999999999645</v>
      </c>
      <c r="F315" s="51" t="s">
        <v>198</v>
      </c>
      <c r="G315" s="51" t="s">
        <v>397</v>
      </c>
      <c r="H315" s="51"/>
      <c r="I315" s="51"/>
    </row>
    <row r="316" spans="1:9" x14ac:dyDescent="0.25">
      <c r="A316" s="57">
        <v>45853</v>
      </c>
      <c r="B316" s="51" t="s">
        <v>59</v>
      </c>
      <c r="C316" s="58">
        <v>0.59027777777777779</v>
      </c>
      <c r="D316" s="58">
        <v>0.60069444444444442</v>
      </c>
      <c r="E316" s="39">
        <f t="shared" si="15"/>
        <v>14.999999999999947</v>
      </c>
      <c r="F316" s="51" t="s">
        <v>198</v>
      </c>
      <c r="G316" s="51" t="s">
        <v>436</v>
      </c>
      <c r="H316" s="51"/>
      <c r="I316" s="51"/>
    </row>
    <row r="317" spans="1:9" x14ac:dyDescent="0.25">
      <c r="A317" s="57">
        <v>45853</v>
      </c>
      <c r="B317" s="51" t="s">
        <v>59</v>
      </c>
      <c r="C317" s="58">
        <v>0.60069444444444442</v>
      </c>
      <c r="D317" s="58">
        <v>0.63888888888888884</v>
      </c>
      <c r="E317" s="39">
        <f t="shared" si="15"/>
        <v>54.999999999999964</v>
      </c>
      <c r="F317" s="51" t="s">
        <v>198</v>
      </c>
      <c r="G317" s="51" t="s">
        <v>437</v>
      </c>
      <c r="H317" s="51"/>
      <c r="I317" s="51"/>
    </row>
    <row r="318" spans="1:9" x14ac:dyDescent="0.25">
      <c r="A318" s="57">
        <v>45853</v>
      </c>
      <c r="B318" s="51" t="s">
        <v>59</v>
      </c>
      <c r="C318" s="58">
        <v>0.63888888888888884</v>
      </c>
      <c r="D318" s="58">
        <v>0.64930555555555558</v>
      </c>
      <c r="E318" s="39">
        <f t="shared" si="15"/>
        <v>15.000000000000107</v>
      </c>
      <c r="F318" s="51" t="s">
        <v>198</v>
      </c>
      <c r="G318" s="51" t="s">
        <v>438</v>
      </c>
      <c r="H318" s="51"/>
      <c r="I318" s="51"/>
    </row>
    <row r="319" spans="1:9" x14ac:dyDescent="0.25">
      <c r="A319" s="57">
        <v>45853</v>
      </c>
      <c r="B319" s="51" t="s">
        <v>59</v>
      </c>
      <c r="C319" s="58">
        <v>0.64930555555555558</v>
      </c>
      <c r="D319" s="58">
        <v>0.65625</v>
      </c>
      <c r="E319" s="39">
        <f t="shared" si="15"/>
        <v>9.9999999999999645</v>
      </c>
      <c r="F319" s="51" t="s">
        <v>198</v>
      </c>
      <c r="G319" s="51" t="s">
        <v>439</v>
      </c>
      <c r="H319" s="51"/>
      <c r="I319" s="51"/>
    </row>
    <row r="320" spans="1:9" x14ac:dyDescent="0.25">
      <c r="A320" s="57">
        <v>45853</v>
      </c>
      <c r="B320" s="51" t="s">
        <v>59</v>
      </c>
      <c r="C320" s="58">
        <v>0.65625</v>
      </c>
      <c r="D320" s="58">
        <v>0.70138888888888884</v>
      </c>
      <c r="E320" s="39">
        <f t="shared" si="15"/>
        <v>64.999999999999929</v>
      </c>
      <c r="F320" s="51" t="s">
        <v>198</v>
      </c>
      <c r="G320" s="51" t="s">
        <v>440</v>
      </c>
      <c r="H320" s="51"/>
      <c r="I320" s="51"/>
    </row>
    <row r="321" spans="1:9" x14ac:dyDescent="0.25">
      <c r="A321" s="57">
        <v>45853</v>
      </c>
      <c r="B321" s="51" t="s">
        <v>59</v>
      </c>
      <c r="C321" s="58">
        <v>0.70138888888888884</v>
      </c>
      <c r="D321" s="58">
        <v>0.71180555555555558</v>
      </c>
      <c r="E321" s="39">
        <f t="shared" si="15"/>
        <v>15.000000000000107</v>
      </c>
      <c r="F321" s="51" t="s">
        <v>198</v>
      </c>
      <c r="G321" s="51" t="s">
        <v>439</v>
      </c>
      <c r="H321" s="51"/>
      <c r="I321" s="51"/>
    </row>
    <row r="322" spans="1:9" x14ac:dyDescent="0.25">
      <c r="A322" s="57">
        <v>45853</v>
      </c>
      <c r="B322" s="51" t="s">
        <v>59</v>
      </c>
      <c r="C322" s="58">
        <v>0.71180555555555558</v>
      </c>
      <c r="D322" s="58">
        <v>0.71875</v>
      </c>
      <c r="E322" s="39">
        <f t="shared" si="15"/>
        <v>9.9999999999999645</v>
      </c>
      <c r="F322" s="51" t="s">
        <v>198</v>
      </c>
      <c r="G322" s="51" t="s">
        <v>441</v>
      </c>
      <c r="H322" s="51"/>
      <c r="I322" s="51"/>
    </row>
    <row r="323" spans="1:9" ht="23.4" x14ac:dyDescent="0.25">
      <c r="A323" s="57">
        <v>45853</v>
      </c>
      <c r="B323" s="51" t="s">
        <v>59</v>
      </c>
      <c r="C323" s="58">
        <v>0.71875</v>
      </c>
      <c r="D323" s="58">
        <v>0.72569444444444442</v>
      </c>
      <c r="E323" s="39">
        <f t="shared" si="15"/>
        <v>9.9999999999999645</v>
      </c>
      <c r="F323" s="51" t="s">
        <v>198</v>
      </c>
      <c r="G323" s="51" t="s">
        <v>442</v>
      </c>
      <c r="H323" s="51"/>
      <c r="I323" s="51"/>
    </row>
    <row r="324" spans="1:9" x14ac:dyDescent="0.25">
      <c r="A324" s="57">
        <v>45853</v>
      </c>
      <c r="B324" s="51" t="s">
        <v>59</v>
      </c>
      <c r="C324" s="58">
        <v>0.72569444444444442</v>
      </c>
      <c r="D324" s="58">
        <v>0.73958333333333337</v>
      </c>
      <c r="E324" s="39">
        <f t="shared" si="15"/>
        <v>20.000000000000089</v>
      </c>
      <c r="F324" s="51" t="s">
        <v>198</v>
      </c>
      <c r="G324" s="51" t="s">
        <v>443</v>
      </c>
      <c r="H324" s="63"/>
      <c r="I324" s="51"/>
    </row>
    <row r="325" spans="1:9" x14ac:dyDescent="0.25">
      <c r="A325" s="57">
        <v>45853</v>
      </c>
      <c r="B325" s="51" t="s">
        <v>59</v>
      </c>
      <c r="C325" s="58">
        <v>0.73958333333333337</v>
      </c>
      <c r="D325" s="58">
        <v>0.77083333333333337</v>
      </c>
      <c r="E325" s="39">
        <f t="shared" si="15"/>
        <v>45</v>
      </c>
      <c r="F325" s="51" t="s">
        <v>198</v>
      </c>
      <c r="G325" s="51" t="s">
        <v>444</v>
      </c>
      <c r="H325" s="51"/>
      <c r="I325" s="51"/>
    </row>
    <row r="326" spans="1:9" x14ac:dyDescent="0.25">
      <c r="A326" s="57">
        <v>45853</v>
      </c>
      <c r="B326" s="51" t="s">
        <v>59</v>
      </c>
      <c r="C326" s="58">
        <v>0.77083333333333337</v>
      </c>
      <c r="D326" s="58">
        <v>0.8125</v>
      </c>
      <c r="E326" s="39">
        <f t="shared" si="15"/>
        <v>59.999999999999943</v>
      </c>
      <c r="F326" s="51" t="s">
        <v>198</v>
      </c>
      <c r="G326" s="51" t="s">
        <v>445</v>
      </c>
      <c r="H326" s="51"/>
      <c r="I326" s="51"/>
    </row>
    <row r="327" spans="1:9" x14ac:dyDescent="0.25">
      <c r="A327" s="57">
        <v>45853</v>
      </c>
      <c r="B327" s="51" t="s">
        <v>59</v>
      </c>
      <c r="C327" s="58">
        <v>0.8125</v>
      </c>
      <c r="D327" s="58">
        <v>0.85416666666666663</v>
      </c>
      <c r="E327" s="39">
        <f t="shared" si="15"/>
        <v>59.999999999999943</v>
      </c>
      <c r="F327" s="51" t="s">
        <v>198</v>
      </c>
      <c r="G327" s="51" t="s">
        <v>446</v>
      </c>
      <c r="H327" s="51"/>
      <c r="I327" s="51"/>
    </row>
    <row r="328" spans="1:9" x14ac:dyDescent="0.25">
      <c r="A328" s="57">
        <v>45853</v>
      </c>
      <c r="B328" s="51" t="s">
        <v>59</v>
      </c>
      <c r="C328" s="58">
        <v>0.85416666666666663</v>
      </c>
      <c r="D328" s="58">
        <v>0.875</v>
      </c>
      <c r="E328" s="39">
        <f t="shared" si="15"/>
        <v>30.000000000000053</v>
      </c>
      <c r="F328" s="51" t="s">
        <v>198</v>
      </c>
      <c r="G328" s="51" t="s">
        <v>447</v>
      </c>
      <c r="H328" s="51"/>
      <c r="I328" s="51"/>
    </row>
    <row r="329" spans="1:9" x14ac:dyDescent="0.25">
      <c r="A329" s="57">
        <v>45853</v>
      </c>
      <c r="B329" s="51" t="s">
        <v>59</v>
      </c>
      <c r="C329" s="58">
        <v>0.875</v>
      </c>
      <c r="D329" s="58">
        <v>0.89583333333333337</v>
      </c>
      <c r="E329" s="39">
        <f t="shared" si="15"/>
        <v>30.000000000000053</v>
      </c>
      <c r="F329" s="51" t="s">
        <v>198</v>
      </c>
      <c r="G329" s="51" t="s">
        <v>448</v>
      </c>
      <c r="H329" s="51"/>
      <c r="I329" s="51"/>
    </row>
    <row r="330" spans="1:9" x14ac:dyDescent="0.25">
      <c r="A330" s="57">
        <v>45853</v>
      </c>
      <c r="B330" s="51" t="s">
        <v>59</v>
      </c>
      <c r="C330" s="58">
        <v>0.89583333333333337</v>
      </c>
      <c r="D330" s="58">
        <v>0.91666666666666663</v>
      </c>
      <c r="E330" s="39">
        <f t="shared" si="15"/>
        <v>29.999999999999893</v>
      </c>
      <c r="F330" s="51" t="s">
        <v>198</v>
      </c>
      <c r="G330" s="51" t="s">
        <v>449</v>
      </c>
      <c r="H330" s="51"/>
      <c r="I330" s="51"/>
    </row>
    <row r="331" spans="1:9" ht="46.2" x14ac:dyDescent="0.25">
      <c r="A331" s="57">
        <v>45853</v>
      </c>
      <c r="B331" s="51" t="s">
        <v>59</v>
      </c>
      <c r="C331" s="58">
        <v>0.91666666666666663</v>
      </c>
      <c r="D331" s="58">
        <v>0.9375</v>
      </c>
      <c r="E331" s="39">
        <f t="shared" si="15"/>
        <v>30.000000000000053</v>
      </c>
      <c r="F331" s="51" t="s">
        <v>198</v>
      </c>
      <c r="G331" s="51" t="s">
        <v>450</v>
      </c>
      <c r="H331" s="51"/>
      <c r="I331" s="51"/>
    </row>
    <row r="332" spans="1:9" x14ac:dyDescent="0.25">
      <c r="A332" s="57">
        <v>45853</v>
      </c>
      <c r="B332" s="51" t="s">
        <v>59</v>
      </c>
      <c r="C332" s="58">
        <v>0.9375</v>
      </c>
      <c r="D332" s="58">
        <v>0.94444444444444442</v>
      </c>
      <c r="E332" s="39">
        <f t="shared" si="15"/>
        <v>9.9999999999999645</v>
      </c>
      <c r="F332" s="51" t="s">
        <v>198</v>
      </c>
      <c r="G332" s="51" t="s">
        <v>451</v>
      </c>
      <c r="H332" s="51"/>
      <c r="I332" s="51"/>
    </row>
    <row r="333" spans="1:9" x14ac:dyDescent="0.25">
      <c r="A333" s="57">
        <v>45853</v>
      </c>
      <c r="B333" s="51" t="s">
        <v>59</v>
      </c>
      <c r="C333" s="58">
        <v>0.94444444444444442</v>
      </c>
      <c r="D333" s="58">
        <v>0.96180555555555558</v>
      </c>
      <c r="E333" s="39">
        <f t="shared" si="15"/>
        <v>25.000000000000071</v>
      </c>
      <c r="F333" s="51" t="s">
        <v>198</v>
      </c>
      <c r="G333" s="51" t="s">
        <v>434</v>
      </c>
      <c r="H333" s="51"/>
      <c r="I333" s="51"/>
    </row>
    <row r="334" spans="1:9" x14ac:dyDescent="0.25">
      <c r="A334" s="35"/>
      <c r="B334" s="53"/>
      <c r="C334" s="35"/>
      <c r="D334" s="35"/>
      <c r="E334" s="35"/>
      <c r="F334" s="53"/>
      <c r="G334" s="35"/>
      <c r="H334" s="35"/>
      <c r="I334" s="35"/>
    </row>
    <row r="335" spans="1:9" x14ac:dyDescent="0.25">
      <c r="A335" s="19" t="s">
        <v>1</v>
      </c>
      <c r="B335" s="19" t="s">
        <v>2</v>
      </c>
      <c r="C335" s="54" t="s">
        <v>3</v>
      </c>
      <c r="D335" s="55"/>
      <c r="E335" s="19" t="s">
        <v>4</v>
      </c>
      <c r="F335" s="19" t="s">
        <v>5</v>
      </c>
      <c r="G335" s="19" t="s">
        <v>6</v>
      </c>
      <c r="H335" s="19" t="s">
        <v>7</v>
      </c>
      <c r="I335" s="19" t="s">
        <v>8</v>
      </c>
    </row>
    <row r="336" spans="1:9" x14ac:dyDescent="0.25">
      <c r="A336" s="56"/>
      <c r="B336" s="56"/>
      <c r="C336" s="51" t="s">
        <v>9</v>
      </c>
      <c r="D336" s="51" t="s">
        <v>10</v>
      </c>
      <c r="E336" s="56"/>
      <c r="F336" s="56"/>
      <c r="G336" s="56"/>
      <c r="H336" s="56"/>
      <c r="I336" s="56"/>
    </row>
    <row r="337" spans="1:9" x14ac:dyDescent="0.25">
      <c r="A337" s="57">
        <v>45854</v>
      </c>
      <c r="B337" s="51" t="s">
        <v>88</v>
      </c>
      <c r="C337" s="58">
        <v>0.58333333333333337</v>
      </c>
      <c r="D337" s="58">
        <v>0.59027777777777779</v>
      </c>
      <c r="E337" s="39">
        <f t="shared" ref="E337:E352" si="16">(D337-C337)*1440</f>
        <v>9.9999999999999645</v>
      </c>
      <c r="F337" s="51" t="s">
        <v>198</v>
      </c>
      <c r="G337" s="51" t="s">
        <v>397</v>
      </c>
      <c r="H337" s="51"/>
      <c r="I337" s="51"/>
    </row>
    <row r="338" spans="1:9" x14ac:dyDescent="0.25">
      <c r="A338" s="57">
        <v>45854</v>
      </c>
      <c r="B338" s="51" t="s">
        <v>88</v>
      </c>
      <c r="C338" s="58">
        <v>0.59027777777777779</v>
      </c>
      <c r="D338" s="58">
        <v>0.59722222222222221</v>
      </c>
      <c r="E338" s="39">
        <f t="shared" si="16"/>
        <v>9.9999999999999645</v>
      </c>
      <c r="F338" s="51" t="s">
        <v>198</v>
      </c>
      <c r="G338" s="51" t="s">
        <v>452</v>
      </c>
      <c r="H338" s="51"/>
      <c r="I338" s="51"/>
    </row>
    <row r="339" spans="1:9" x14ac:dyDescent="0.25">
      <c r="A339" s="57">
        <v>45854</v>
      </c>
      <c r="B339" s="51" t="s">
        <v>88</v>
      </c>
      <c r="C339" s="58">
        <v>0.59722222222222221</v>
      </c>
      <c r="D339" s="58">
        <v>0.64583333333333337</v>
      </c>
      <c r="E339" s="39">
        <f t="shared" si="16"/>
        <v>70.000000000000071</v>
      </c>
      <c r="F339" s="51" t="s">
        <v>198</v>
      </c>
      <c r="G339" s="51" t="s">
        <v>453</v>
      </c>
      <c r="H339" s="51"/>
      <c r="I339" s="51"/>
    </row>
    <row r="340" spans="1:9" x14ac:dyDescent="0.25">
      <c r="A340" s="57">
        <v>45854</v>
      </c>
      <c r="B340" s="51" t="s">
        <v>88</v>
      </c>
      <c r="C340" s="58">
        <v>0.64583333333333337</v>
      </c>
      <c r="D340" s="58">
        <v>0.68055555555555558</v>
      </c>
      <c r="E340" s="39">
        <f t="shared" si="16"/>
        <v>49.999999999999986</v>
      </c>
      <c r="F340" s="51" t="s">
        <v>198</v>
      </c>
      <c r="G340" s="51" t="s">
        <v>454</v>
      </c>
      <c r="H340" s="51"/>
      <c r="I340" s="51"/>
    </row>
    <row r="341" spans="1:9" x14ac:dyDescent="0.25">
      <c r="A341" s="57">
        <v>45854</v>
      </c>
      <c r="B341" s="51" t="s">
        <v>88</v>
      </c>
      <c r="C341" s="58">
        <v>0.68055555555555558</v>
      </c>
      <c r="D341" s="58">
        <v>0.69097222222222221</v>
      </c>
      <c r="E341" s="39">
        <f t="shared" si="16"/>
        <v>14.999999999999947</v>
      </c>
      <c r="F341" s="51" t="s">
        <v>198</v>
      </c>
      <c r="G341" s="51" t="s">
        <v>438</v>
      </c>
      <c r="H341" s="51"/>
      <c r="I341" s="51"/>
    </row>
    <row r="342" spans="1:9" x14ac:dyDescent="0.25">
      <c r="A342" s="57">
        <v>45854</v>
      </c>
      <c r="B342" s="51" t="s">
        <v>88</v>
      </c>
      <c r="C342" s="58">
        <v>0.69097222222222221</v>
      </c>
      <c r="D342" s="58">
        <v>0.71875</v>
      </c>
      <c r="E342" s="39">
        <f t="shared" si="16"/>
        <v>40.000000000000014</v>
      </c>
      <c r="F342" s="51" t="s">
        <v>198</v>
      </c>
      <c r="G342" s="68" t="s">
        <v>455</v>
      </c>
      <c r="H342" s="51"/>
      <c r="I342" s="51"/>
    </row>
    <row r="343" spans="1:9" x14ac:dyDescent="0.25">
      <c r="A343" s="57">
        <v>45854</v>
      </c>
      <c r="B343" s="51" t="s">
        <v>88</v>
      </c>
      <c r="C343" s="58">
        <v>0.71875</v>
      </c>
      <c r="D343" s="58">
        <v>0.76041666666666663</v>
      </c>
      <c r="E343" s="39">
        <f t="shared" si="16"/>
        <v>59.999999999999943</v>
      </c>
      <c r="F343" s="51" t="s">
        <v>198</v>
      </c>
      <c r="G343" s="68" t="s">
        <v>456</v>
      </c>
      <c r="H343" s="51"/>
      <c r="I343" s="51" t="s">
        <v>457</v>
      </c>
    </row>
    <row r="344" spans="1:9" x14ac:dyDescent="0.25">
      <c r="A344" s="57">
        <v>45854</v>
      </c>
      <c r="B344" s="51" t="s">
        <v>88</v>
      </c>
      <c r="C344" s="58">
        <v>0.76041666666666663</v>
      </c>
      <c r="D344" s="58">
        <v>0.79513888888888884</v>
      </c>
      <c r="E344" s="39">
        <f t="shared" si="16"/>
        <v>49.999999999999986</v>
      </c>
      <c r="F344" s="51" t="s">
        <v>198</v>
      </c>
      <c r="G344" s="51" t="s">
        <v>406</v>
      </c>
      <c r="H344" s="51"/>
      <c r="I344" s="51"/>
    </row>
    <row r="345" spans="1:9" x14ac:dyDescent="0.25">
      <c r="A345" s="57">
        <v>45854</v>
      </c>
      <c r="B345" s="51" t="s">
        <v>88</v>
      </c>
      <c r="C345" s="58">
        <v>0.79513888888888884</v>
      </c>
      <c r="D345" s="58">
        <v>0.83680555555555558</v>
      </c>
      <c r="E345" s="39">
        <f t="shared" si="16"/>
        <v>60.000000000000107</v>
      </c>
      <c r="F345" s="51" t="s">
        <v>198</v>
      </c>
      <c r="G345" s="68" t="s">
        <v>458</v>
      </c>
      <c r="H345" s="51"/>
      <c r="I345" s="51" t="s">
        <v>457</v>
      </c>
    </row>
    <row r="346" spans="1:9" x14ac:dyDescent="0.25">
      <c r="A346" s="57">
        <v>45854</v>
      </c>
      <c r="B346" s="51" t="s">
        <v>88</v>
      </c>
      <c r="C346" s="58">
        <v>0.83680555555555558</v>
      </c>
      <c r="D346" s="58">
        <v>0.875</v>
      </c>
      <c r="E346" s="39">
        <f t="shared" si="16"/>
        <v>54.999999999999964</v>
      </c>
      <c r="F346" s="51" t="s">
        <v>198</v>
      </c>
      <c r="G346" s="68" t="s">
        <v>459</v>
      </c>
      <c r="H346" s="51"/>
      <c r="I346" s="51" t="s">
        <v>457</v>
      </c>
    </row>
    <row r="347" spans="1:9" x14ac:dyDescent="0.25">
      <c r="A347" s="57">
        <v>45854</v>
      </c>
      <c r="B347" s="51" t="s">
        <v>88</v>
      </c>
      <c r="C347" s="58">
        <v>0.875</v>
      </c>
      <c r="D347" s="58">
        <v>0.89583333333333337</v>
      </c>
      <c r="E347" s="39">
        <f t="shared" si="16"/>
        <v>30.000000000000053</v>
      </c>
      <c r="F347" s="51" t="s">
        <v>198</v>
      </c>
      <c r="G347" s="68" t="s">
        <v>460</v>
      </c>
      <c r="H347" s="51"/>
      <c r="I347" s="51" t="s">
        <v>457</v>
      </c>
    </row>
    <row r="348" spans="1:9" x14ac:dyDescent="0.25">
      <c r="A348" s="57">
        <v>45854</v>
      </c>
      <c r="B348" s="51" t="s">
        <v>88</v>
      </c>
      <c r="C348" s="58">
        <v>0.89583333333333337</v>
      </c>
      <c r="D348" s="58">
        <v>0.92361111111111116</v>
      </c>
      <c r="E348" s="39">
        <f t="shared" si="16"/>
        <v>40.000000000000014</v>
      </c>
      <c r="F348" s="51" t="s">
        <v>198</v>
      </c>
      <c r="G348" s="51" t="s">
        <v>461</v>
      </c>
      <c r="H348" s="63"/>
      <c r="I348" s="51"/>
    </row>
    <row r="349" spans="1:9" x14ac:dyDescent="0.25">
      <c r="A349" s="57">
        <v>45854</v>
      </c>
      <c r="B349" s="51" t="s">
        <v>88</v>
      </c>
      <c r="C349" s="58">
        <v>0.92361111111111116</v>
      </c>
      <c r="D349" s="58">
        <v>0.9375</v>
      </c>
      <c r="E349" s="39">
        <f t="shared" si="16"/>
        <v>19.999999999999929</v>
      </c>
      <c r="F349" s="51" t="s">
        <v>198</v>
      </c>
      <c r="G349" s="51" t="s">
        <v>462</v>
      </c>
      <c r="H349" s="51"/>
      <c r="I349" s="51"/>
    </row>
    <row r="350" spans="1:9" x14ac:dyDescent="0.25">
      <c r="A350" s="57">
        <v>45854</v>
      </c>
      <c r="B350" s="51" t="s">
        <v>88</v>
      </c>
      <c r="C350" s="58">
        <v>0.9375</v>
      </c>
      <c r="D350" s="58">
        <v>0.94444444444444442</v>
      </c>
      <c r="E350" s="39">
        <f t="shared" si="16"/>
        <v>9.9999999999999645</v>
      </c>
      <c r="F350" s="51" t="s">
        <v>198</v>
      </c>
      <c r="G350" s="51" t="s">
        <v>463</v>
      </c>
      <c r="H350" s="51"/>
      <c r="I350" s="51"/>
    </row>
    <row r="351" spans="1:9" x14ac:dyDescent="0.25">
      <c r="A351" s="57">
        <v>45854</v>
      </c>
      <c r="B351" s="51" t="s">
        <v>88</v>
      </c>
      <c r="C351" s="58">
        <v>0.94444444444444442</v>
      </c>
      <c r="D351" s="58">
        <v>0.95138888888888884</v>
      </c>
      <c r="E351" s="39">
        <f t="shared" si="16"/>
        <v>9.9999999999999645</v>
      </c>
      <c r="F351" s="51" t="s">
        <v>198</v>
      </c>
      <c r="G351" s="51" t="s">
        <v>352</v>
      </c>
      <c r="H351" s="51"/>
      <c r="I351" s="51"/>
    </row>
    <row r="352" spans="1:9" x14ac:dyDescent="0.25">
      <c r="A352" s="57">
        <v>45854</v>
      </c>
      <c r="B352" s="51" t="s">
        <v>88</v>
      </c>
      <c r="C352" s="58">
        <v>0.95138888888888884</v>
      </c>
      <c r="D352" s="58">
        <v>0.96180555555555558</v>
      </c>
      <c r="E352" s="39">
        <f t="shared" si="16"/>
        <v>15.000000000000107</v>
      </c>
      <c r="F352" s="51" t="s">
        <v>198</v>
      </c>
      <c r="G352" s="51" t="s">
        <v>464</v>
      </c>
      <c r="H352" s="51"/>
      <c r="I352" s="51"/>
    </row>
    <row r="353" spans="1:9" x14ac:dyDescent="0.25">
      <c r="A353" s="35"/>
      <c r="B353" s="53"/>
      <c r="C353" s="35"/>
      <c r="D353" s="35"/>
      <c r="E353" s="35"/>
      <c r="F353" s="53"/>
      <c r="G353" s="35"/>
      <c r="H353" s="35"/>
      <c r="I353" s="35"/>
    </row>
    <row r="354" spans="1:9" x14ac:dyDescent="0.25">
      <c r="A354" s="19" t="s">
        <v>1</v>
      </c>
      <c r="B354" s="19" t="s">
        <v>2</v>
      </c>
      <c r="C354" s="54" t="s">
        <v>3</v>
      </c>
      <c r="D354" s="55"/>
      <c r="E354" s="19" t="s">
        <v>4</v>
      </c>
      <c r="F354" s="19" t="s">
        <v>5</v>
      </c>
      <c r="G354" s="19" t="s">
        <v>6</v>
      </c>
      <c r="H354" s="19" t="s">
        <v>7</v>
      </c>
      <c r="I354" s="19" t="s">
        <v>8</v>
      </c>
    </row>
    <row r="355" spans="1:9" x14ac:dyDescent="0.25">
      <c r="A355" s="56"/>
      <c r="B355" s="56"/>
      <c r="C355" s="51" t="s">
        <v>9</v>
      </c>
      <c r="D355" s="51" t="s">
        <v>10</v>
      </c>
      <c r="E355" s="56"/>
      <c r="F355" s="56"/>
      <c r="G355" s="56"/>
      <c r="H355" s="56"/>
      <c r="I355" s="56"/>
    </row>
    <row r="356" spans="1:9" x14ac:dyDescent="0.25">
      <c r="A356" s="57">
        <v>45855</v>
      </c>
      <c r="B356" s="51" t="s">
        <v>91</v>
      </c>
      <c r="C356" s="58">
        <v>0.58333333333333337</v>
      </c>
      <c r="D356" s="58">
        <v>0.59027777777777779</v>
      </c>
      <c r="E356" s="39">
        <f t="shared" ref="E356:E371" si="17">(D356-C356)*1440</f>
        <v>9.9999999999999645</v>
      </c>
      <c r="F356" s="51" t="s">
        <v>198</v>
      </c>
      <c r="G356" s="51" t="s">
        <v>465</v>
      </c>
      <c r="H356" s="51"/>
      <c r="I356" s="51"/>
    </row>
    <row r="357" spans="1:9" x14ac:dyDescent="0.25">
      <c r="A357" s="57">
        <v>45855</v>
      </c>
      <c r="B357" s="51" t="s">
        <v>91</v>
      </c>
      <c r="C357" s="58">
        <v>0.59027777777777779</v>
      </c>
      <c r="D357" s="58">
        <v>0.59722222222222221</v>
      </c>
      <c r="E357" s="39">
        <f t="shared" si="17"/>
        <v>9.9999999999999645</v>
      </c>
      <c r="F357" s="51" t="s">
        <v>198</v>
      </c>
      <c r="G357" s="51" t="s">
        <v>466</v>
      </c>
      <c r="H357" s="51"/>
      <c r="I357" s="51"/>
    </row>
    <row r="358" spans="1:9" ht="46.2" x14ac:dyDescent="0.25">
      <c r="A358" s="57">
        <v>45855</v>
      </c>
      <c r="B358" s="51" t="s">
        <v>91</v>
      </c>
      <c r="C358" s="58">
        <v>0.59722222222222221</v>
      </c>
      <c r="D358" s="58">
        <v>0.63194444444444442</v>
      </c>
      <c r="E358" s="39">
        <f t="shared" si="17"/>
        <v>49.999999999999986</v>
      </c>
      <c r="F358" s="51" t="s">
        <v>198</v>
      </c>
      <c r="G358" s="51" t="s">
        <v>467</v>
      </c>
      <c r="H358" s="51"/>
      <c r="I358" s="51"/>
    </row>
    <row r="359" spans="1:9" x14ac:dyDescent="0.25">
      <c r="A359" s="57">
        <v>45855</v>
      </c>
      <c r="B359" s="51" t="s">
        <v>91</v>
      </c>
      <c r="C359" s="58">
        <v>0.63194444444444442</v>
      </c>
      <c r="D359" s="58">
        <v>0.65972222222222221</v>
      </c>
      <c r="E359" s="39">
        <f t="shared" si="17"/>
        <v>40.000000000000014</v>
      </c>
      <c r="F359" s="51" t="s">
        <v>198</v>
      </c>
      <c r="G359" s="51" t="s">
        <v>468</v>
      </c>
      <c r="H359" s="51"/>
      <c r="I359" s="51"/>
    </row>
    <row r="360" spans="1:9" x14ac:dyDescent="0.25">
      <c r="A360" s="57">
        <v>45855</v>
      </c>
      <c r="B360" s="51" t="s">
        <v>91</v>
      </c>
      <c r="C360" s="58">
        <v>0.65972222222222221</v>
      </c>
      <c r="D360" s="58">
        <v>0.6875</v>
      </c>
      <c r="E360" s="39">
        <f t="shared" si="17"/>
        <v>40.000000000000014</v>
      </c>
      <c r="F360" s="51" t="s">
        <v>198</v>
      </c>
      <c r="G360" s="51" t="s">
        <v>469</v>
      </c>
      <c r="H360" s="51"/>
      <c r="I360" s="51"/>
    </row>
    <row r="361" spans="1:9" ht="57.6" x14ac:dyDescent="0.25">
      <c r="A361" s="57">
        <v>45855</v>
      </c>
      <c r="B361" s="51" t="s">
        <v>91</v>
      </c>
      <c r="C361" s="58">
        <v>0.6875</v>
      </c>
      <c r="D361" s="58">
        <v>0.71527777777777779</v>
      </c>
      <c r="E361" s="39">
        <f t="shared" si="17"/>
        <v>40.000000000000014</v>
      </c>
      <c r="F361" s="51" t="s">
        <v>198</v>
      </c>
      <c r="G361" s="51" t="s">
        <v>470</v>
      </c>
      <c r="H361" s="51"/>
      <c r="I361" s="51"/>
    </row>
    <row r="362" spans="1:9" x14ac:dyDescent="0.25">
      <c r="A362" s="57">
        <v>45855</v>
      </c>
      <c r="B362" s="51" t="s">
        <v>91</v>
      </c>
      <c r="C362" s="58">
        <v>0.71527777777777779</v>
      </c>
      <c r="D362" s="58">
        <v>0.72916666666666663</v>
      </c>
      <c r="E362" s="39">
        <f t="shared" si="17"/>
        <v>19.999999999999929</v>
      </c>
      <c r="F362" s="51" t="s">
        <v>198</v>
      </c>
      <c r="G362" s="51" t="s">
        <v>471</v>
      </c>
      <c r="H362" s="51"/>
      <c r="I362" s="51"/>
    </row>
    <row r="363" spans="1:9" ht="23.4" x14ac:dyDescent="0.25">
      <c r="A363" s="57">
        <v>45855</v>
      </c>
      <c r="B363" s="51" t="s">
        <v>91</v>
      </c>
      <c r="C363" s="58">
        <v>0.72916666666666663</v>
      </c>
      <c r="D363" s="58">
        <v>0.75694444444444442</v>
      </c>
      <c r="E363" s="39">
        <f t="shared" si="17"/>
        <v>40.000000000000014</v>
      </c>
      <c r="F363" s="51" t="s">
        <v>198</v>
      </c>
      <c r="G363" s="51" t="s">
        <v>472</v>
      </c>
      <c r="H363" s="51"/>
      <c r="I363" s="51"/>
    </row>
    <row r="364" spans="1:9" x14ac:dyDescent="0.25">
      <c r="A364" s="57">
        <v>45855</v>
      </c>
      <c r="B364" s="51" t="s">
        <v>91</v>
      </c>
      <c r="C364" s="58">
        <v>0.75694444444444442</v>
      </c>
      <c r="D364" s="58">
        <v>0.79861111111111116</v>
      </c>
      <c r="E364" s="39">
        <f t="shared" si="17"/>
        <v>60.000000000000107</v>
      </c>
      <c r="F364" s="51" t="s">
        <v>198</v>
      </c>
      <c r="G364" s="51" t="s">
        <v>473</v>
      </c>
      <c r="H364" s="51"/>
      <c r="I364" s="51"/>
    </row>
    <row r="365" spans="1:9" x14ac:dyDescent="0.25">
      <c r="A365" s="57">
        <v>45855</v>
      </c>
      <c r="B365" s="51" t="s">
        <v>91</v>
      </c>
      <c r="C365" s="58">
        <v>0.79861111111111116</v>
      </c>
      <c r="D365" s="58">
        <v>0.83333333333333337</v>
      </c>
      <c r="E365" s="39">
        <f t="shared" si="17"/>
        <v>49.999999999999986</v>
      </c>
      <c r="F365" s="51"/>
      <c r="G365" s="51" t="s">
        <v>474</v>
      </c>
      <c r="H365" s="51"/>
      <c r="I365" s="51"/>
    </row>
    <row r="366" spans="1:9" x14ac:dyDescent="0.25">
      <c r="A366" s="57">
        <v>45855</v>
      </c>
      <c r="B366" s="51" t="s">
        <v>91</v>
      </c>
      <c r="C366" s="58">
        <v>0.83333333333333337</v>
      </c>
      <c r="D366" s="58">
        <v>0.86805555555555558</v>
      </c>
      <c r="E366" s="39">
        <f t="shared" si="17"/>
        <v>49.999999999999986</v>
      </c>
      <c r="F366" s="51" t="s">
        <v>198</v>
      </c>
      <c r="G366" s="51" t="s">
        <v>475</v>
      </c>
      <c r="H366" s="51"/>
      <c r="I366" s="51"/>
    </row>
    <row r="367" spans="1:9" x14ac:dyDescent="0.25">
      <c r="A367" s="57">
        <v>45855</v>
      </c>
      <c r="B367" s="51" t="s">
        <v>91</v>
      </c>
      <c r="C367" s="58">
        <v>0.86805555555555558</v>
      </c>
      <c r="D367" s="58">
        <v>0.875</v>
      </c>
      <c r="E367" s="39">
        <f t="shared" si="17"/>
        <v>9.9999999999999645</v>
      </c>
      <c r="F367" s="51" t="s">
        <v>198</v>
      </c>
      <c r="G367" s="51" t="s">
        <v>476</v>
      </c>
      <c r="H367" s="63"/>
      <c r="I367" s="51"/>
    </row>
    <row r="368" spans="1:9" x14ac:dyDescent="0.25">
      <c r="A368" s="57">
        <v>45855</v>
      </c>
      <c r="B368" s="51" t="s">
        <v>91</v>
      </c>
      <c r="C368" s="58">
        <v>0.875</v>
      </c>
      <c r="D368" s="58">
        <v>0.89583333333333337</v>
      </c>
      <c r="E368" s="39">
        <f t="shared" si="17"/>
        <v>30.000000000000053</v>
      </c>
      <c r="F368" s="51" t="s">
        <v>198</v>
      </c>
      <c r="G368" s="51" t="s">
        <v>477</v>
      </c>
      <c r="H368" s="51"/>
      <c r="I368" s="51"/>
    </row>
    <row r="369" spans="1:9" x14ac:dyDescent="0.25">
      <c r="A369" s="57">
        <v>45855</v>
      </c>
      <c r="B369" s="51" t="s">
        <v>91</v>
      </c>
      <c r="C369" s="58">
        <v>0.89583333333333337</v>
      </c>
      <c r="D369" s="58">
        <v>0.91666666666666663</v>
      </c>
      <c r="E369" s="39">
        <f t="shared" si="17"/>
        <v>29.999999999999893</v>
      </c>
      <c r="F369" s="51" t="s">
        <v>198</v>
      </c>
      <c r="G369" s="51" t="s">
        <v>478</v>
      </c>
      <c r="H369" s="51"/>
      <c r="I369" s="51"/>
    </row>
    <row r="370" spans="1:9" x14ac:dyDescent="0.25">
      <c r="A370" s="57">
        <v>45855</v>
      </c>
      <c r="B370" s="51" t="s">
        <v>91</v>
      </c>
      <c r="C370" s="58">
        <v>0.91666666666666663</v>
      </c>
      <c r="D370" s="58">
        <v>0.92361111111111116</v>
      </c>
      <c r="E370" s="39">
        <f t="shared" si="17"/>
        <v>10.000000000000124</v>
      </c>
      <c r="F370" s="51" t="s">
        <v>198</v>
      </c>
      <c r="G370" s="51" t="s">
        <v>479</v>
      </c>
      <c r="H370" s="51"/>
      <c r="I370" s="51"/>
    </row>
    <row r="371" spans="1:9" x14ac:dyDescent="0.25">
      <c r="A371" s="57">
        <v>45855</v>
      </c>
      <c r="B371" s="51" t="s">
        <v>91</v>
      </c>
      <c r="C371" s="58">
        <v>0.92361111111111116</v>
      </c>
      <c r="D371" s="58">
        <v>1.0347222222222223</v>
      </c>
      <c r="E371" s="39">
        <f t="shared" si="17"/>
        <v>160.00000000000006</v>
      </c>
      <c r="F371" s="51" t="s">
        <v>198</v>
      </c>
      <c r="G371" s="51" t="s">
        <v>480</v>
      </c>
      <c r="H371" s="51"/>
      <c r="I371" s="51"/>
    </row>
    <row r="372" spans="1:9" x14ac:dyDescent="0.25">
      <c r="A372" s="35"/>
      <c r="B372" s="53"/>
      <c r="C372" s="35"/>
      <c r="D372" s="35"/>
      <c r="E372" s="35"/>
      <c r="F372" s="53"/>
      <c r="G372" s="35"/>
      <c r="H372" s="35"/>
      <c r="I372" s="35"/>
    </row>
    <row r="373" spans="1:9" x14ac:dyDescent="0.25">
      <c r="A373" s="19" t="s">
        <v>1</v>
      </c>
      <c r="B373" s="19" t="s">
        <v>2</v>
      </c>
      <c r="C373" s="54" t="s">
        <v>3</v>
      </c>
      <c r="D373" s="55"/>
      <c r="E373" s="19" t="s">
        <v>4</v>
      </c>
      <c r="F373" s="19" t="s">
        <v>5</v>
      </c>
      <c r="G373" s="19" t="s">
        <v>6</v>
      </c>
      <c r="H373" s="19" t="s">
        <v>7</v>
      </c>
      <c r="I373" s="19" t="s">
        <v>8</v>
      </c>
    </row>
    <row r="374" spans="1:9" x14ac:dyDescent="0.25">
      <c r="A374" s="56"/>
      <c r="B374" s="56"/>
      <c r="C374" s="51" t="s">
        <v>9</v>
      </c>
      <c r="D374" s="51" t="s">
        <v>10</v>
      </c>
      <c r="E374" s="56"/>
      <c r="F374" s="56"/>
      <c r="G374" s="56"/>
      <c r="H374" s="56"/>
      <c r="I374" s="56"/>
    </row>
    <row r="375" spans="1:9" x14ac:dyDescent="0.25">
      <c r="A375" s="57">
        <v>45856</v>
      </c>
      <c r="B375" s="51" t="s">
        <v>289</v>
      </c>
      <c r="C375" s="58">
        <v>0.58333333333333337</v>
      </c>
      <c r="D375" s="58">
        <v>0.59027777777777779</v>
      </c>
      <c r="E375" s="39">
        <f t="shared" ref="E375:E394" si="18">(D375-C375)*1440</f>
        <v>9.9999999999999645</v>
      </c>
      <c r="F375" s="51" t="s">
        <v>198</v>
      </c>
      <c r="G375" s="51" t="s">
        <v>397</v>
      </c>
      <c r="H375" s="51"/>
      <c r="I375" s="51"/>
    </row>
    <row r="376" spans="1:9" x14ac:dyDescent="0.25">
      <c r="A376" s="57">
        <v>45856</v>
      </c>
      <c r="B376" s="51" t="s">
        <v>289</v>
      </c>
      <c r="C376" s="58">
        <v>0.59027777777777779</v>
      </c>
      <c r="D376" s="58">
        <v>0.59722222222222221</v>
      </c>
      <c r="E376" s="39">
        <f t="shared" si="18"/>
        <v>9.9999999999999645</v>
      </c>
      <c r="F376" s="51" t="s">
        <v>198</v>
      </c>
      <c r="G376" s="51" t="s">
        <v>481</v>
      </c>
      <c r="H376" s="51"/>
      <c r="I376" s="51"/>
    </row>
    <row r="377" spans="1:9" x14ac:dyDescent="0.25">
      <c r="A377" s="57">
        <v>45856</v>
      </c>
      <c r="B377" s="51" t="s">
        <v>289</v>
      </c>
      <c r="C377" s="58">
        <v>0.59722222222222221</v>
      </c>
      <c r="D377" s="58">
        <v>0.64583333333333337</v>
      </c>
      <c r="E377" s="39">
        <f t="shared" si="18"/>
        <v>70.000000000000071</v>
      </c>
      <c r="F377" s="51" t="s">
        <v>198</v>
      </c>
      <c r="G377" s="51" t="s">
        <v>482</v>
      </c>
      <c r="H377" s="51"/>
      <c r="I377" s="51"/>
    </row>
    <row r="378" spans="1:9" x14ac:dyDescent="0.25">
      <c r="A378" s="57">
        <v>45856</v>
      </c>
      <c r="B378" s="51" t="s">
        <v>289</v>
      </c>
      <c r="C378" s="58">
        <v>0.64583333333333337</v>
      </c>
      <c r="D378" s="58">
        <v>0.65625</v>
      </c>
      <c r="E378" s="39">
        <f t="shared" si="18"/>
        <v>14.999999999999947</v>
      </c>
      <c r="F378" s="51" t="s">
        <v>198</v>
      </c>
      <c r="G378" s="51" t="s">
        <v>438</v>
      </c>
      <c r="H378" s="51"/>
      <c r="I378" s="51"/>
    </row>
    <row r="379" spans="1:9" x14ac:dyDescent="0.25">
      <c r="A379" s="57">
        <v>45856</v>
      </c>
      <c r="B379" s="51" t="s">
        <v>289</v>
      </c>
      <c r="C379" s="58">
        <v>0.65625</v>
      </c>
      <c r="D379" s="58">
        <v>0.69097222222222221</v>
      </c>
      <c r="E379" s="39">
        <f t="shared" si="18"/>
        <v>49.999999999999986</v>
      </c>
      <c r="F379" s="51" t="s">
        <v>198</v>
      </c>
      <c r="G379" s="51" t="s">
        <v>483</v>
      </c>
      <c r="H379" s="51"/>
      <c r="I379" s="51"/>
    </row>
    <row r="380" spans="1:9" x14ac:dyDescent="0.25">
      <c r="A380" s="57">
        <v>45856</v>
      </c>
      <c r="B380" s="51" t="s">
        <v>289</v>
      </c>
      <c r="C380" s="58">
        <v>0.69097222222222221</v>
      </c>
      <c r="D380" s="58">
        <v>0.70486111111111116</v>
      </c>
      <c r="E380" s="39">
        <f t="shared" si="18"/>
        <v>20.000000000000089</v>
      </c>
      <c r="F380" s="51" t="s">
        <v>198</v>
      </c>
      <c r="G380" s="51" t="s">
        <v>484</v>
      </c>
      <c r="H380" s="51"/>
      <c r="I380" s="51"/>
    </row>
    <row r="381" spans="1:9" x14ac:dyDescent="0.25">
      <c r="A381" s="57">
        <v>45856</v>
      </c>
      <c r="B381" s="51" t="s">
        <v>289</v>
      </c>
      <c r="C381" s="58">
        <v>0.70486111111111116</v>
      </c>
      <c r="D381" s="58">
        <v>0.71527777777777779</v>
      </c>
      <c r="E381" s="39">
        <f t="shared" si="18"/>
        <v>14.999999999999947</v>
      </c>
      <c r="F381" s="51" t="s">
        <v>198</v>
      </c>
      <c r="G381" s="51" t="s">
        <v>485</v>
      </c>
      <c r="H381" s="51"/>
      <c r="I381" s="51"/>
    </row>
    <row r="382" spans="1:9" x14ac:dyDescent="0.25">
      <c r="A382" s="57">
        <v>45856</v>
      </c>
      <c r="B382" s="51" t="s">
        <v>289</v>
      </c>
      <c r="C382" s="58">
        <v>0.71527777777777779</v>
      </c>
      <c r="D382" s="58">
        <v>0.75694444444444442</v>
      </c>
      <c r="E382" s="39">
        <f t="shared" si="18"/>
        <v>59.999999999999943</v>
      </c>
      <c r="F382" s="51" t="s">
        <v>198</v>
      </c>
      <c r="G382" s="51" t="s">
        <v>486</v>
      </c>
      <c r="H382" s="51"/>
      <c r="I382" s="51"/>
    </row>
    <row r="383" spans="1:9" x14ac:dyDescent="0.25">
      <c r="A383" s="57">
        <v>45856</v>
      </c>
      <c r="B383" s="51" t="s">
        <v>289</v>
      </c>
      <c r="C383" s="58">
        <v>0.75694444444444442</v>
      </c>
      <c r="D383" s="58">
        <v>0.79513888888888884</v>
      </c>
      <c r="E383" s="39">
        <f t="shared" si="18"/>
        <v>54.999999999999964</v>
      </c>
      <c r="F383" s="51" t="s">
        <v>198</v>
      </c>
      <c r="G383" s="51" t="s">
        <v>487</v>
      </c>
      <c r="H383" s="51"/>
      <c r="I383" s="51"/>
    </row>
    <row r="384" spans="1:9" x14ac:dyDescent="0.25">
      <c r="A384" s="57">
        <v>45856</v>
      </c>
      <c r="B384" s="51" t="s">
        <v>289</v>
      </c>
      <c r="C384" s="58">
        <v>0.79513888888888884</v>
      </c>
      <c r="D384" s="58">
        <v>0.79861111111111116</v>
      </c>
      <c r="E384" s="39">
        <f t="shared" si="18"/>
        <v>5.0000000000001421</v>
      </c>
      <c r="F384" s="51" t="s">
        <v>198</v>
      </c>
      <c r="G384" s="51" t="s">
        <v>479</v>
      </c>
      <c r="H384" s="51"/>
      <c r="I384" s="51"/>
    </row>
    <row r="385" spans="1:9" x14ac:dyDescent="0.25">
      <c r="A385" s="57">
        <v>45856</v>
      </c>
      <c r="B385" s="51" t="s">
        <v>289</v>
      </c>
      <c r="C385" s="58">
        <v>0.79861111111111116</v>
      </c>
      <c r="D385" s="58">
        <v>0.8125</v>
      </c>
      <c r="E385" s="39">
        <f t="shared" si="18"/>
        <v>19.999999999999929</v>
      </c>
      <c r="F385" s="51" t="s">
        <v>198</v>
      </c>
      <c r="G385" s="51" t="s">
        <v>488</v>
      </c>
      <c r="H385" s="51"/>
      <c r="I385" s="51"/>
    </row>
    <row r="386" spans="1:9" x14ac:dyDescent="0.25">
      <c r="A386" s="57">
        <v>45856</v>
      </c>
      <c r="B386" s="51" t="s">
        <v>289</v>
      </c>
      <c r="C386" s="58">
        <v>0.8125</v>
      </c>
      <c r="D386" s="58">
        <v>0.82291666666666663</v>
      </c>
      <c r="E386" s="39">
        <f t="shared" si="18"/>
        <v>14.999999999999947</v>
      </c>
      <c r="F386" s="51" t="s">
        <v>198</v>
      </c>
      <c r="G386" s="51" t="s">
        <v>489</v>
      </c>
      <c r="H386" s="51"/>
      <c r="I386" s="51"/>
    </row>
    <row r="387" spans="1:9" x14ac:dyDescent="0.25">
      <c r="A387" s="57">
        <v>45856</v>
      </c>
      <c r="B387" s="51" t="s">
        <v>289</v>
      </c>
      <c r="C387" s="58">
        <v>0.82291666666666663</v>
      </c>
      <c r="D387" s="58">
        <v>0.82986111111111116</v>
      </c>
      <c r="E387" s="39">
        <f t="shared" si="18"/>
        <v>10.000000000000124</v>
      </c>
      <c r="F387" s="51" t="s">
        <v>198</v>
      </c>
      <c r="G387" s="51" t="s">
        <v>490</v>
      </c>
      <c r="H387" s="51"/>
      <c r="I387" s="51"/>
    </row>
    <row r="388" spans="1:9" x14ac:dyDescent="0.25">
      <c r="A388" s="57">
        <v>45856</v>
      </c>
      <c r="B388" s="51" t="s">
        <v>289</v>
      </c>
      <c r="C388" s="58">
        <v>0.82986111111111116</v>
      </c>
      <c r="D388" s="58">
        <v>0.86111111111111116</v>
      </c>
      <c r="E388" s="39">
        <f t="shared" si="18"/>
        <v>45</v>
      </c>
      <c r="F388" s="51" t="s">
        <v>198</v>
      </c>
      <c r="G388" s="51" t="s">
        <v>491</v>
      </c>
      <c r="H388" s="63"/>
      <c r="I388" s="51"/>
    </row>
    <row r="389" spans="1:9" x14ac:dyDescent="0.25">
      <c r="A389" s="57">
        <v>45856</v>
      </c>
      <c r="B389" s="51" t="s">
        <v>289</v>
      </c>
      <c r="C389" s="58">
        <v>0.86111111111111116</v>
      </c>
      <c r="D389" s="58">
        <v>0.88541666666666663</v>
      </c>
      <c r="E389" s="39">
        <f t="shared" si="18"/>
        <v>34.999999999999872</v>
      </c>
      <c r="F389" s="51" t="s">
        <v>198</v>
      </c>
      <c r="G389" s="51" t="s">
        <v>492</v>
      </c>
      <c r="H389" s="51"/>
      <c r="I389" s="51"/>
    </row>
    <row r="390" spans="1:9" x14ac:dyDescent="0.25">
      <c r="A390" s="57">
        <v>45856</v>
      </c>
      <c r="B390" s="51" t="s">
        <v>289</v>
      </c>
      <c r="C390" s="58">
        <v>0.88541666666666663</v>
      </c>
      <c r="D390" s="58">
        <v>0.89236111111111116</v>
      </c>
      <c r="E390" s="39">
        <f t="shared" si="18"/>
        <v>10.000000000000124</v>
      </c>
      <c r="F390" s="51" t="s">
        <v>198</v>
      </c>
      <c r="G390" s="51" t="s">
        <v>493</v>
      </c>
      <c r="H390" s="51"/>
      <c r="I390" s="51"/>
    </row>
    <row r="391" spans="1:9" x14ac:dyDescent="0.25">
      <c r="A391" s="57">
        <v>45856</v>
      </c>
      <c r="B391" s="51" t="s">
        <v>289</v>
      </c>
      <c r="C391" s="58">
        <v>0.89236111111111116</v>
      </c>
      <c r="D391" s="58">
        <v>0.89930555555555558</v>
      </c>
      <c r="E391" s="39">
        <f t="shared" si="18"/>
        <v>9.9999999999999645</v>
      </c>
      <c r="F391" s="51" t="s">
        <v>198</v>
      </c>
      <c r="G391" s="51" t="s">
        <v>494</v>
      </c>
      <c r="H391" s="51"/>
      <c r="I391" s="51"/>
    </row>
    <row r="392" spans="1:9" x14ac:dyDescent="0.25">
      <c r="A392" s="57">
        <v>45856</v>
      </c>
      <c r="B392" s="51" t="s">
        <v>289</v>
      </c>
      <c r="C392" s="58">
        <v>0.89930555555555558</v>
      </c>
      <c r="D392" s="58">
        <v>0.90972222222222221</v>
      </c>
      <c r="E392" s="39">
        <f t="shared" si="18"/>
        <v>14.999999999999947</v>
      </c>
      <c r="F392" s="51" t="s">
        <v>198</v>
      </c>
      <c r="G392" s="51" t="s">
        <v>495</v>
      </c>
      <c r="H392" s="51"/>
      <c r="I392" s="51"/>
    </row>
    <row r="393" spans="1:9" ht="69" x14ac:dyDescent="0.25">
      <c r="A393" s="57">
        <v>45856</v>
      </c>
      <c r="B393" s="51" t="s">
        <v>289</v>
      </c>
      <c r="C393" s="58">
        <v>0.90972222222222221</v>
      </c>
      <c r="D393" s="58">
        <v>0.91666666666666663</v>
      </c>
      <c r="E393" s="39">
        <f t="shared" si="18"/>
        <v>9.9999999999999645</v>
      </c>
      <c r="F393" s="51" t="s">
        <v>198</v>
      </c>
      <c r="G393" s="51" t="s">
        <v>496</v>
      </c>
      <c r="H393" s="51"/>
      <c r="I393" s="51"/>
    </row>
    <row r="394" spans="1:9" ht="34.799999999999997" x14ac:dyDescent="0.25">
      <c r="A394" s="57">
        <v>45856</v>
      </c>
      <c r="B394" s="51" t="s">
        <v>289</v>
      </c>
      <c r="C394" s="58">
        <v>0.91666666666666663</v>
      </c>
      <c r="D394" s="58">
        <v>0.95833333333333337</v>
      </c>
      <c r="E394" s="39">
        <f t="shared" si="18"/>
        <v>60.000000000000107</v>
      </c>
      <c r="F394" s="51" t="s">
        <v>198</v>
      </c>
      <c r="G394" s="51" t="s">
        <v>497</v>
      </c>
      <c r="H394" s="51"/>
      <c r="I394" s="51"/>
    </row>
    <row r="395" spans="1:9" x14ac:dyDescent="0.25">
      <c r="A395" s="35"/>
      <c r="B395" s="53"/>
      <c r="C395" s="35"/>
      <c r="D395" s="35"/>
      <c r="E395" s="35"/>
      <c r="F395" s="53"/>
      <c r="G395" s="35"/>
      <c r="H395" s="35"/>
      <c r="I395" s="35"/>
    </row>
    <row r="396" spans="1:9" x14ac:dyDescent="0.25">
      <c r="A396" s="19" t="s">
        <v>1</v>
      </c>
      <c r="B396" s="19" t="s">
        <v>2</v>
      </c>
      <c r="C396" s="69" t="s">
        <v>3</v>
      </c>
      <c r="D396" s="55"/>
      <c r="E396" s="22" t="s">
        <v>4</v>
      </c>
      <c r="F396" s="19" t="s">
        <v>5</v>
      </c>
      <c r="G396" s="19" t="s">
        <v>6</v>
      </c>
      <c r="H396" s="19" t="s">
        <v>7</v>
      </c>
      <c r="I396" s="19" t="s">
        <v>8</v>
      </c>
    </row>
    <row r="397" spans="1:9" x14ac:dyDescent="0.25">
      <c r="A397" s="56"/>
      <c r="B397" s="56"/>
      <c r="C397" s="51" t="s">
        <v>9</v>
      </c>
      <c r="D397" s="51" t="s">
        <v>10</v>
      </c>
      <c r="E397" s="70"/>
      <c r="F397" s="56"/>
      <c r="G397" s="56"/>
      <c r="H397" s="56"/>
      <c r="I397" s="56"/>
    </row>
    <row r="398" spans="1:9" x14ac:dyDescent="0.25">
      <c r="A398" s="57">
        <v>45857</v>
      </c>
      <c r="B398" s="51" t="s">
        <v>311</v>
      </c>
      <c r="C398" s="58">
        <v>0.8125</v>
      </c>
      <c r="D398" s="58">
        <v>0.81944444444444442</v>
      </c>
      <c r="E398" s="39">
        <f t="shared" ref="E398:E412" si="19">(D398-C398)*1440</f>
        <v>9.9999999999999645</v>
      </c>
      <c r="F398" s="51" t="s">
        <v>198</v>
      </c>
      <c r="G398" s="51" t="s">
        <v>397</v>
      </c>
      <c r="H398" s="51"/>
      <c r="I398" s="51"/>
    </row>
    <row r="399" spans="1:9" x14ac:dyDescent="0.25">
      <c r="A399" s="57">
        <v>45857</v>
      </c>
      <c r="B399" s="51" t="s">
        <v>311</v>
      </c>
      <c r="C399" s="58">
        <v>0.81944444444444442</v>
      </c>
      <c r="D399" s="58">
        <v>0.82638888888888884</v>
      </c>
      <c r="E399" s="39">
        <f t="shared" si="19"/>
        <v>9.9999999999999645</v>
      </c>
      <c r="F399" s="51" t="s">
        <v>198</v>
      </c>
      <c r="G399" s="51" t="s">
        <v>481</v>
      </c>
      <c r="H399" s="51"/>
      <c r="I399" s="51"/>
    </row>
    <row r="400" spans="1:9" x14ac:dyDescent="0.25">
      <c r="A400" s="57">
        <v>45857</v>
      </c>
      <c r="B400" s="51" t="s">
        <v>311</v>
      </c>
      <c r="C400" s="58">
        <v>0.82638888888888884</v>
      </c>
      <c r="D400" s="58">
        <v>1</v>
      </c>
      <c r="E400" s="39">
        <f t="shared" si="19"/>
        <v>250.00000000000006</v>
      </c>
      <c r="F400" s="51" t="s">
        <v>198</v>
      </c>
      <c r="G400" s="51" t="s">
        <v>498</v>
      </c>
      <c r="H400" s="51"/>
      <c r="I400" s="51"/>
    </row>
    <row r="401" spans="1:9" x14ac:dyDescent="0.25">
      <c r="A401" s="57">
        <v>45857</v>
      </c>
      <c r="B401" s="51" t="s">
        <v>311</v>
      </c>
      <c r="C401" s="58">
        <v>0</v>
      </c>
      <c r="D401" s="58">
        <v>4.1666666666666664E-2</v>
      </c>
      <c r="E401" s="39">
        <f t="shared" si="19"/>
        <v>60</v>
      </c>
      <c r="F401" s="51" t="s">
        <v>198</v>
      </c>
      <c r="G401" s="51" t="s">
        <v>499</v>
      </c>
      <c r="H401" s="51"/>
      <c r="I401" s="51"/>
    </row>
    <row r="402" spans="1:9" x14ac:dyDescent="0.25">
      <c r="A402" s="57">
        <v>45857</v>
      </c>
      <c r="B402" s="51" t="s">
        <v>311</v>
      </c>
      <c r="C402" s="58">
        <v>4.1666666666666664E-2</v>
      </c>
      <c r="D402" s="58">
        <v>5.2083333333333336E-2</v>
      </c>
      <c r="E402" s="39">
        <f t="shared" si="19"/>
        <v>15.000000000000007</v>
      </c>
      <c r="F402" s="51" t="s">
        <v>198</v>
      </c>
      <c r="G402" s="51" t="s">
        <v>500</v>
      </c>
      <c r="H402" s="51"/>
      <c r="I402" s="51"/>
    </row>
    <row r="403" spans="1:9" x14ac:dyDescent="0.25">
      <c r="A403" s="57">
        <v>45857</v>
      </c>
      <c r="B403" s="51" t="s">
        <v>311</v>
      </c>
      <c r="C403" s="58">
        <v>5.2083333333333336E-2</v>
      </c>
      <c r="D403" s="58">
        <v>6.5972222222222224E-2</v>
      </c>
      <c r="E403" s="39">
        <f t="shared" si="19"/>
        <v>20</v>
      </c>
      <c r="F403" s="51" t="s">
        <v>198</v>
      </c>
      <c r="G403" s="51" t="s">
        <v>501</v>
      </c>
      <c r="H403" s="51"/>
      <c r="I403" s="51"/>
    </row>
    <row r="404" spans="1:9" x14ac:dyDescent="0.25">
      <c r="A404" s="57">
        <v>45857</v>
      </c>
      <c r="B404" s="51" t="s">
        <v>311</v>
      </c>
      <c r="C404" s="58">
        <v>6.5972222222222224E-2</v>
      </c>
      <c r="D404" s="58">
        <v>7.9861111111111105E-2</v>
      </c>
      <c r="E404" s="39">
        <f t="shared" si="19"/>
        <v>19.999999999999989</v>
      </c>
      <c r="F404" s="51" t="s">
        <v>198</v>
      </c>
      <c r="G404" s="71" t="s">
        <v>502</v>
      </c>
      <c r="H404" s="51"/>
      <c r="I404" s="51"/>
    </row>
    <row r="405" spans="1:9" x14ac:dyDescent="0.25">
      <c r="A405" s="57">
        <v>45857</v>
      </c>
      <c r="B405" s="51" t="s">
        <v>311</v>
      </c>
      <c r="C405" s="58">
        <v>7.9861111111111105E-2</v>
      </c>
      <c r="D405" s="58">
        <v>9.0277777777777776E-2</v>
      </c>
      <c r="E405" s="39">
        <f t="shared" si="19"/>
        <v>15.000000000000007</v>
      </c>
      <c r="F405" s="51" t="s">
        <v>198</v>
      </c>
      <c r="G405" s="51" t="s">
        <v>503</v>
      </c>
      <c r="H405" s="51"/>
      <c r="I405" s="51"/>
    </row>
    <row r="406" spans="1:9" x14ac:dyDescent="0.25">
      <c r="A406" s="57">
        <v>45857</v>
      </c>
      <c r="B406" s="51" t="s">
        <v>311</v>
      </c>
      <c r="C406" s="58">
        <v>9.0277777777777776E-2</v>
      </c>
      <c r="D406" s="58">
        <v>0.20833333333333334</v>
      </c>
      <c r="E406" s="39">
        <f t="shared" si="19"/>
        <v>170.00000000000003</v>
      </c>
      <c r="F406" s="51" t="s">
        <v>198</v>
      </c>
      <c r="G406" s="51" t="s">
        <v>498</v>
      </c>
      <c r="H406" s="51"/>
      <c r="I406" s="51"/>
    </row>
    <row r="407" spans="1:9" x14ac:dyDescent="0.25">
      <c r="A407" s="57">
        <v>45857</v>
      </c>
      <c r="B407" s="51" t="s">
        <v>311</v>
      </c>
      <c r="C407" s="58">
        <v>0.20833333333333334</v>
      </c>
      <c r="D407" s="58">
        <v>0.21875</v>
      </c>
      <c r="E407" s="39">
        <f t="shared" si="19"/>
        <v>14.999999999999986</v>
      </c>
      <c r="F407" s="51" t="s">
        <v>198</v>
      </c>
      <c r="G407" s="51" t="s">
        <v>504</v>
      </c>
      <c r="H407" s="51"/>
      <c r="I407" s="51"/>
    </row>
    <row r="408" spans="1:9" x14ac:dyDescent="0.25">
      <c r="A408" s="57">
        <v>45857</v>
      </c>
      <c r="B408" s="51" t="s">
        <v>311</v>
      </c>
      <c r="C408" s="58">
        <v>0.21875</v>
      </c>
      <c r="D408" s="58">
        <v>0.29166666666666669</v>
      </c>
      <c r="E408" s="39">
        <f t="shared" si="19"/>
        <v>105.00000000000003</v>
      </c>
      <c r="F408" s="51" t="s">
        <v>198</v>
      </c>
      <c r="G408" s="51" t="s">
        <v>498</v>
      </c>
      <c r="H408" s="51"/>
      <c r="I408" s="51"/>
    </row>
    <row r="409" spans="1:9" x14ac:dyDescent="0.25">
      <c r="A409" s="57">
        <v>45857</v>
      </c>
      <c r="B409" s="51" t="s">
        <v>311</v>
      </c>
      <c r="C409" s="58">
        <v>0.29166666666666669</v>
      </c>
      <c r="D409" s="58">
        <v>0.2986111111111111</v>
      </c>
      <c r="E409" s="39">
        <f t="shared" si="19"/>
        <v>9.9999999999999645</v>
      </c>
      <c r="F409" s="51" t="s">
        <v>198</v>
      </c>
      <c r="G409" s="51" t="s">
        <v>505</v>
      </c>
      <c r="H409" s="51"/>
      <c r="I409" s="51"/>
    </row>
    <row r="410" spans="1:9" x14ac:dyDescent="0.25">
      <c r="A410" s="57">
        <v>45857</v>
      </c>
      <c r="B410" s="51" t="s">
        <v>311</v>
      </c>
      <c r="C410" s="58">
        <v>0.2986111111111111</v>
      </c>
      <c r="D410" s="58">
        <v>0.3263888888888889</v>
      </c>
      <c r="E410" s="39">
        <f t="shared" si="19"/>
        <v>40.000000000000014</v>
      </c>
      <c r="F410" s="51" t="s">
        <v>198</v>
      </c>
      <c r="G410" s="51" t="s">
        <v>498</v>
      </c>
      <c r="H410" s="51"/>
      <c r="I410" s="51"/>
    </row>
    <row r="411" spans="1:9" x14ac:dyDescent="0.25">
      <c r="A411" s="57">
        <v>45857</v>
      </c>
      <c r="B411" s="51" t="s">
        <v>311</v>
      </c>
      <c r="C411" s="58">
        <v>0.3263888888888889</v>
      </c>
      <c r="D411" s="58">
        <v>0.34722222222222221</v>
      </c>
      <c r="E411" s="39">
        <f t="shared" si="19"/>
        <v>29.999999999999972</v>
      </c>
      <c r="F411" s="51" t="s">
        <v>198</v>
      </c>
      <c r="G411" s="51" t="s">
        <v>506</v>
      </c>
      <c r="H411" s="63"/>
      <c r="I411" s="51"/>
    </row>
    <row r="412" spans="1:9" x14ac:dyDescent="0.25">
      <c r="A412" s="57">
        <v>45857</v>
      </c>
      <c r="B412" s="51" t="s">
        <v>311</v>
      </c>
      <c r="C412" s="58">
        <v>0.34722222222222221</v>
      </c>
      <c r="D412" s="58">
        <v>0.3611111111111111</v>
      </c>
      <c r="E412" s="39">
        <f t="shared" si="19"/>
        <v>20.000000000000007</v>
      </c>
      <c r="F412" s="51" t="s">
        <v>198</v>
      </c>
      <c r="G412" s="51" t="s">
        <v>507</v>
      </c>
      <c r="H412" s="51"/>
      <c r="I412" s="51"/>
    </row>
    <row r="413" spans="1:9" ht="14.25" customHeight="1" x14ac:dyDescent="0.25">
      <c r="A413" s="20" t="s">
        <v>508</v>
      </c>
      <c r="B413" s="72"/>
      <c r="C413" s="72"/>
      <c r="D413" s="72"/>
      <c r="E413" s="72"/>
      <c r="F413" s="72"/>
      <c r="G413" s="72"/>
      <c r="H413" s="72"/>
      <c r="I413" s="73"/>
    </row>
    <row r="414" spans="1:9" ht="38.25" customHeight="1" x14ac:dyDescent="0.25">
      <c r="A414" s="74"/>
      <c r="B414" s="75"/>
      <c r="C414" s="75"/>
      <c r="D414" s="75"/>
      <c r="E414" s="75"/>
      <c r="F414" s="75"/>
      <c r="G414" s="75"/>
      <c r="H414" s="75"/>
      <c r="I414" s="76"/>
    </row>
    <row r="415" spans="1:9" s="67" customFormat="1" ht="35.4" x14ac:dyDescent="0.6">
      <c r="A415" s="64" t="s">
        <v>509</v>
      </c>
      <c r="B415" s="65"/>
      <c r="C415" s="65"/>
      <c r="D415" s="65"/>
      <c r="E415" s="65"/>
      <c r="F415" s="65"/>
      <c r="G415" s="65"/>
      <c r="H415" s="65"/>
      <c r="I415" s="66"/>
    </row>
    <row r="416" spans="1:9" x14ac:dyDescent="0.25">
      <c r="A416" s="35"/>
      <c r="B416" s="53"/>
      <c r="C416" s="35"/>
      <c r="D416" s="35"/>
      <c r="E416" s="35"/>
      <c r="F416" s="53"/>
      <c r="G416" s="35"/>
      <c r="H416" s="35"/>
      <c r="I416" s="35"/>
    </row>
    <row r="417" spans="1:9" x14ac:dyDescent="0.25">
      <c r="A417" s="19" t="s">
        <v>1</v>
      </c>
      <c r="B417" s="19" t="s">
        <v>2</v>
      </c>
      <c r="C417" s="54" t="s">
        <v>3</v>
      </c>
      <c r="D417" s="55"/>
      <c r="E417" s="19" t="s">
        <v>4</v>
      </c>
      <c r="F417" s="19" t="s">
        <v>5</v>
      </c>
      <c r="G417" s="19" t="s">
        <v>6</v>
      </c>
      <c r="H417" s="19" t="s">
        <v>7</v>
      </c>
      <c r="I417" s="19" t="s">
        <v>8</v>
      </c>
    </row>
    <row r="418" spans="1:9" x14ac:dyDescent="0.25">
      <c r="A418" s="56"/>
      <c r="B418" s="56"/>
      <c r="C418" s="51" t="s">
        <v>9</v>
      </c>
      <c r="D418" s="51" t="s">
        <v>10</v>
      </c>
      <c r="E418" s="56"/>
      <c r="F418" s="56"/>
      <c r="G418" s="56"/>
      <c r="H418" s="56"/>
      <c r="I418" s="56"/>
    </row>
    <row r="419" spans="1:9" x14ac:dyDescent="0.25">
      <c r="A419" s="57">
        <v>45859</v>
      </c>
      <c r="B419" s="51" t="s">
        <v>12</v>
      </c>
      <c r="C419" s="58">
        <v>0.25</v>
      </c>
      <c r="D419" s="58">
        <v>0.28125</v>
      </c>
      <c r="E419" s="39">
        <f t="shared" ref="E419:E475" si="20">(D419-C419)*1440</f>
        <v>45</v>
      </c>
      <c r="F419" s="51" t="s">
        <v>198</v>
      </c>
      <c r="G419" s="51" t="s">
        <v>510</v>
      </c>
      <c r="H419" s="51"/>
      <c r="I419" s="51"/>
    </row>
    <row r="420" spans="1:9" x14ac:dyDescent="0.25">
      <c r="A420" s="57">
        <v>45859</v>
      </c>
      <c r="B420" s="51" t="s">
        <v>12</v>
      </c>
      <c r="C420" s="58">
        <v>0.28125</v>
      </c>
      <c r="D420" s="58">
        <v>0.29166666666666669</v>
      </c>
      <c r="E420" s="39">
        <f t="shared" si="20"/>
        <v>15.000000000000027</v>
      </c>
      <c r="F420" s="51" t="s">
        <v>198</v>
      </c>
      <c r="G420" s="51" t="s">
        <v>511</v>
      </c>
      <c r="H420" s="51"/>
      <c r="I420" s="51"/>
    </row>
    <row r="421" spans="1:9" x14ac:dyDescent="0.25">
      <c r="A421" s="57">
        <v>45859</v>
      </c>
      <c r="B421" s="51" t="s">
        <v>12</v>
      </c>
      <c r="C421" s="58">
        <v>0.29166666666666669</v>
      </c>
      <c r="D421" s="58">
        <v>0.2951388888888889</v>
      </c>
      <c r="E421" s="39">
        <f t="shared" si="20"/>
        <v>4.9999999999999822</v>
      </c>
      <c r="F421" s="51" t="s">
        <v>198</v>
      </c>
      <c r="G421" s="51" t="s">
        <v>352</v>
      </c>
      <c r="H421" s="51"/>
      <c r="I421" s="51"/>
    </row>
    <row r="422" spans="1:9" x14ac:dyDescent="0.25">
      <c r="A422" s="57">
        <v>45859</v>
      </c>
      <c r="B422" s="51" t="s">
        <v>12</v>
      </c>
      <c r="C422" s="58">
        <v>0.2951388888888889</v>
      </c>
      <c r="D422" s="58">
        <v>0.32291666666666669</v>
      </c>
      <c r="E422" s="39">
        <f t="shared" si="20"/>
        <v>40.000000000000014</v>
      </c>
      <c r="F422" s="51" t="s">
        <v>198</v>
      </c>
      <c r="G422" s="51" t="s">
        <v>220</v>
      </c>
      <c r="H422" s="51"/>
      <c r="I422" s="51"/>
    </row>
    <row r="423" spans="1:9" x14ac:dyDescent="0.25">
      <c r="A423" s="57">
        <v>45859</v>
      </c>
      <c r="B423" s="51" t="s">
        <v>12</v>
      </c>
      <c r="C423" s="58">
        <v>0.32291666666666669</v>
      </c>
      <c r="D423" s="58">
        <v>0.3298611111111111</v>
      </c>
      <c r="E423" s="39">
        <f t="shared" si="20"/>
        <v>9.9999999999999645</v>
      </c>
      <c r="F423" s="51" t="s">
        <v>198</v>
      </c>
      <c r="G423" s="51" t="s">
        <v>512</v>
      </c>
      <c r="H423" s="51"/>
      <c r="I423" s="51"/>
    </row>
    <row r="424" spans="1:9" x14ac:dyDescent="0.25">
      <c r="A424" s="57">
        <v>45859</v>
      </c>
      <c r="B424" s="51" t="s">
        <v>12</v>
      </c>
      <c r="C424" s="58">
        <v>0.3298611111111111</v>
      </c>
      <c r="D424" s="58">
        <v>0.34027777777777779</v>
      </c>
      <c r="E424" s="39">
        <f t="shared" si="20"/>
        <v>15.000000000000027</v>
      </c>
      <c r="F424" s="51" t="s">
        <v>198</v>
      </c>
      <c r="G424" s="51" t="s">
        <v>513</v>
      </c>
      <c r="H424" s="51"/>
      <c r="I424" s="51"/>
    </row>
    <row r="425" spans="1:9" x14ac:dyDescent="0.25">
      <c r="A425" s="57">
        <v>45859</v>
      </c>
      <c r="B425" s="51" t="s">
        <v>12</v>
      </c>
      <c r="C425" s="58">
        <v>0.34027777777777779</v>
      </c>
      <c r="D425" s="58">
        <v>0.3576388888888889</v>
      </c>
      <c r="E425" s="39">
        <f t="shared" si="20"/>
        <v>24.999999999999993</v>
      </c>
      <c r="F425" s="51" t="s">
        <v>198</v>
      </c>
      <c r="G425" s="51" t="s">
        <v>514</v>
      </c>
      <c r="H425" s="51"/>
      <c r="I425" s="51"/>
    </row>
    <row r="426" spans="1:9" x14ac:dyDescent="0.25">
      <c r="A426" s="57">
        <v>45859</v>
      </c>
      <c r="B426" s="51" t="s">
        <v>12</v>
      </c>
      <c r="C426" s="58">
        <v>0.3576388888888889</v>
      </c>
      <c r="D426" s="58">
        <v>0.3611111111111111</v>
      </c>
      <c r="E426" s="39">
        <f t="shared" si="20"/>
        <v>4.9999999999999822</v>
      </c>
      <c r="F426" s="51" t="s">
        <v>198</v>
      </c>
      <c r="G426" s="51" t="s">
        <v>515</v>
      </c>
      <c r="H426" s="51"/>
      <c r="I426" s="51"/>
    </row>
    <row r="427" spans="1:9" x14ac:dyDescent="0.25">
      <c r="A427" s="57">
        <v>45859</v>
      </c>
      <c r="B427" s="51" t="s">
        <v>12</v>
      </c>
      <c r="C427" s="58">
        <v>0.3611111111111111</v>
      </c>
      <c r="D427" s="58">
        <v>0.375</v>
      </c>
      <c r="E427" s="39">
        <f t="shared" si="20"/>
        <v>20.000000000000007</v>
      </c>
      <c r="F427" s="51" t="s">
        <v>198</v>
      </c>
      <c r="G427" s="51" t="s">
        <v>516</v>
      </c>
      <c r="H427" s="51"/>
      <c r="I427" s="51"/>
    </row>
    <row r="428" spans="1:9" x14ac:dyDescent="0.25">
      <c r="A428" s="57">
        <v>45859</v>
      </c>
      <c r="B428" s="51" t="s">
        <v>12</v>
      </c>
      <c r="C428" s="58">
        <v>0.375</v>
      </c>
      <c r="D428" s="58">
        <v>0.38194444444444442</v>
      </c>
      <c r="E428" s="39">
        <f t="shared" si="20"/>
        <v>9.9999999999999645</v>
      </c>
      <c r="F428" s="51" t="s">
        <v>198</v>
      </c>
      <c r="G428" s="51" t="s">
        <v>517</v>
      </c>
      <c r="H428" s="51"/>
      <c r="I428" s="51"/>
    </row>
    <row r="429" spans="1:9" x14ac:dyDescent="0.25">
      <c r="A429" s="57">
        <v>45859</v>
      </c>
      <c r="B429" s="51" t="s">
        <v>12</v>
      </c>
      <c r="C429" s="58">
        <v>0.38194444444444442</v>
      </c>
      <c r="D429" s="58">
        <v>0.3888888888888889</v>
      </c>
      <c r="E429" s="39">
        <f t="shared" si="20"/>
        <v>10.000000000000044</v>
      </c>
      <c r="F429" s="51" t="s">
        <v>198</v>
      </c>
      <c r="G429" s="51" t="s">
        <v>518</v>
      </c>
      <c r="H429" s="51"/>
      <c r="I429" s="51"/>
    </row>
    <row r="430" spans="1:9" x14ac:dyDescent="0.25">
      <c r="A430" s="57">
        <v>45859</v>
      </c>
      <c r="B430" s="51" t="s">
        <v>12</v>
      </c>
      <c r="C430" s="58">
        <v>0.3888888888888889</v>
      </c>
      <c r="D430" s="58">
        <v>0.39930555555555558</v>
      </c>
      <c r="E430" s="39">
        <f t="shared" si="20"/>
        <v>15.000000000000027</v>
      </c>
      <c r="F430" s="51" t="s">
        <v>198</v>
      </c>
      <c r="G430" s="51" t="s">
        <v>519</v>
      </c>
      <c r="H430" s="51"/>
      <c r="I430" s="51"/>
    </row>
    <row r="431" spans="1:9" x14ac:dyDescent="0.25">
      <c r="A431" s="57">
        <v>45859</v>
      </c>
      <c r="B431" s="51" t="s">
        <v>12</v>
      </c>
      <c r="C431" s="58">
        <v>0.39930555555555558</v>
      </c>
      <c r="D431" s="58">
        <v>0.40625</v>
      </c>
      <c r="E431" s="39">
        <f t="shared" si="20"/>
        <v>9.9999999999999645</v>
      </c>
      <c r="F431" s="51" t="s">
        <v>198</v>
      </c>
      <c r="G431" s="51" t="s">
        <v>520</v>
      </c>
      <c r="H431" s="51"/>
      <c r="I431" s="51"/>
    </row>
    <row r="432" spans="1:9" x14ac:dyDescent="0.25">
      <c r="A432" s="57">
        <v>45859</v>
      </c>
      <c r="B432" s="51" t="s">
        <v>12</v>
      </c>
      <c r="C432" s="58">
        <v>0.40625</v>
      </c>
      <c r="D432" s="58">
        <v>0.41666666666666669</v>
      </c>
      <c r="E432" s="39">
        <f t="shared" si="20"/>
        <v>15.000000000000027</v>
      </c>
      <c r="F432" s="51" t="s">
        <v>198</v>
      </c>
      <c r="G432" s="51" t="s">
        <v>521</v>
      </c>
      <c r="H432" s="51"/>
      <c r="I432" s="51"/>
    </row>
    <row r="433" spans="1:9" x14ac:dyDescent="0.25">
      <c r="A433" s="57">
        <v>45859</v>
      </c>
      <c r="B433" s="51" t="s">
        <v>12</v>
      </c>
      <c r="C433" s="58">
        <v>0.41666666666666669</v>
      </c>
      <c r="D433" s="58">
        <v>0.42708333333333331</v>
      </c>
      <c r="E433" s="39">
        <f t="shared" si="20"/>
        <v>14.999999999999947</v>
      </c>
      <c r="F433" s="51" t="s">
        <v>198</v>
      </c>
      <c r="G433" s="51" t="s">
        <v>522</v>
      </c>
      <c r="H433" s="51"/>
      <c r="I433" s="51"/>
    </row>
    <row r="434" spans="1:9" x14ac:dyDescent="0.25">
      <c r="A434" s="57">
        <v>45859</v>
      </c>
      <c r="B434" s="51" t="s">
        <v>12</v>
      </c>
      <c r="C434" s="58">
        <v>0.42708333333333331</v>
      </c>
      <c r="D434" s="58">
        <v>0.47222222222222221</v>
      </c>
      <c r="E434" s="39">
        <f t="shared" si="20"/>
        <v>65.000000000000014</v>
      </c>
      <c r="F434" s="51" t="s">
        <v>198</v>
      </c>
      <c r="G434" s="51" t="s">
        <v>523</v>
      </c>
      <c r="H434" s="51"/>
      <c r="I434" s="51"/>
    </row>
    <row r="435" spans="1:9" x14ac:dyDescent="0.25">
      <c r="A435" s="57">
        <v>45859</v>
      </c>
      <c r="B435" s="51" t="s">
        <v>12</v>
      </c>
      <c r="C435" s="58">
        <v>0.47222222222222221</v>
      </c>
      <c r="D435" s="58">
        <v>0.4861111111111111</v>
      </c>
      <c r="E435" s="39">
        <f t="shared" si="20"/>
        <v>20.000000000000007</v>
      </c>
      <c r="F435" s="51" t="s">
        <v>198</v>
      </c>
      <c r="G435" s="51" t="s">
        <v>524</v>
      </c>
      <c r="H435" s="51"/>
      <c r="I435" s="51"/>
    </row>
    <row r="436" spans="1:9" x14ac:dyDescent="0.25">
      <c r="A436" s="57">
        <v>45859</v>
      </c>
      <c r="B436" s="51" t="s">
        <v>12</v>
      </c>
      <c r="C436" s="58">
        <v>0.4861111111111111</v>
      </c>
      <c r="D436" s="58">
        <v>0.52083333333333337</v>
      </c>
      <c r="E436" s="39">
        <f t="shared" si="20"/>
        <v>50.000000000000064</v>
      </c>
      <c r="F436" s="51" t="s">
        <v>198</v>
      </c>
      <c r="G436" s="51" t="s">
        <v>302</v>
      </c>
      <c r="H436" s="51"/>
      <c r="I436" s="51"/>
    </row>
    <row r="437" spans="1:9" x14ac:dyDescent="0.25">
      <c r="A437" s="57">
        <v>45859</v>
      </c>
      <c r="B437" s="51" t="s">
        <v>12</v>
      </c>
      <c r="C437" s="58">
        <v>0.52083333333333337</v>
      </c>
      <c r="D437" s="58">
        <v>0.53125</v>
      </c>
      <c r="E437" s="39">
        <f t="shared" si="20"/>
        <v>14.999999999999947</v>
      </c>
      <c r="F437" s="51" t="s">
        <v>198</v>
      </c>
      <c r="G437" s="71" t="s">
        <v>525</v>
      </c>
      <c r="H437" s="51"/>
      <c r="I437" s="51"/>
    </row>
    <row r="438" spans="1:9" x14ac:dyDescent="0.25">
      <c r="A438" s="57">
        <v>45859</v>
      </c>
      <c r="B438" s="51" t="s">
        <v>12</v>
      </c>
      <c r="C438" s="58">
        <v>0.53125</v>
      </c>
      <c r="D438" s="58">
        <v>0.53819444444444442</v>
      </c>
      <c r="E438" s="39">
        <f t="shared" si="20"/>
        <v>9.9999999999999645</v>
      </c>
      <c r="F438" s="51" t="s">
        <v>198</v>
      </c>
      <c r="G438" s="51" t="s">
        <v>526</v>
      </c>
      <c r="H438" s="51"/>
      <c r="I438" s="51"/>
    </row>
    <row r="439" spans="1:9" x14ac:dyDescent="0.25">
      <c r="A439" s="57">
        <v>45859</v>
      </c>
      <c r="B439" s="51" t="s">
        <v>12</v>
      </c>
      <c r="C439" s="58">
        <v>0.53819444444444442</v>
      </c>
      <c r="D439" s="58">
        <v>0.57291666666666663</v>
      </c>
      <c r="E439" s="39">
        <f t="shared" si="20"/>
        <v>49.999999999999986</v>
      </c>
      <c r="F439" s="51" t="s">
        <v>198</v>
      </c>
      <c r="G439" s="51" t="s">
        <v>527</v>
      </c>
      <c r="H439" s="51"/>
      <c r="I439" s="51"/>
    </row>
    <row r="440" spans="1:9" x14ac:dyDescent="0.25">
      <c r="A440" s="57">
        <v>45859</v>
      </c>
      <c r="B440" s="51" t="s">
        <v>12</v>
      </c>
      <c r="C440" s="58">
        <v>0.57291666666666663</v>
      </c>
      <c r="D440" s="58">
        <v>0.58333333333333337</v>
      </c>
      <c r="E440" s="39">
        <f t="shared" si="20"/>
        <v>15.000000000000107</v>
      </c>
      <c r="F440" s="51" t="s">
        <v>198</v>
      </c>
      <c r="G440" s="51" t="s">
        <v>528</v>
      </c>
      <c r="H440" s="51"/>
      <c r="I440" s="51"/>
    </row>
    <row r="441" spans="1:9" x14ac:dyDescent="0.25">
      <c r="A441" s="57">
        <v>45859</v>
      </c>
      <c r="B441" s="51" t="s">
        <v>12</v>
      </c>
      <c r="C441" s="58">
        <v>0.58333333333333337</v>
      </c>
      <c r="D441" s="58">
        <v>0.59027777777777779</v>
      </c>
      <c r="E441" s="39">
        <f t="shared" si="20"/>
        <v>9.9999999999999645</v>
      </c>
      <c r="F441" s="51" t="s">
        <v>198</v>
      </c>
      <c r="G441" s="51" t="s">
        <v>529</v>
      </c>
      <c r="H441" s="51"/>
      <c r="I441" s="51"/>
    </row>
    <row r="442" spans="1:9" x14ac:dyDescent="0.25">
      <c r="A442" s="57">
        <v>45859</v>
      </c>
      <c r="B442" s="51" t="s">
        <v>12</v>
      </c>
      <c r="C442" s="58">
        <v>0.58333333333333337</v>
      </c>
      <c r="D442" s="58">
        <v>0.59027777777777779</v>
      </c>
      <c r="E442" s="39">
        <f t="shared" si="20"/>
        <v>9.9999999999999645</v>
      </c>
      <c r="F442" s="51" t="s">
        <v>198</v>
      </c>
      <c r="G442" s="51" t="s">
        <v>352</v>
      </c>
      <c r="H442" s="51"/>
      <c r="I442" s="51"/>
    </row>
    <row r="443" spans="1:9" x14ac:dyDescent="0.25">
      <c r="A443" s="57">
        <v>45859</v>
      </c>
      <c r="B443" s="51" t="s">
        <v>12</v>
      </c>
      <c r="C443" s="58">
        <v>0.59027777777777779</v>
      </c>
      <c r="D443" s="58">
        <v>0.62152777777777779</v>
      </c>
      <c r="E443" s="39">
        <f t="shared" si="20"/>
        <v>45</v>
      </c>
      <c r="F443" s="51" t="s">
        <v>198</v>
      </c>
      <c r="G443" s="51" t="s">
        <v>530</v>
      </c>
      <c r="H443" s="51"/>
      <c r="I443" s="51"/>
    </row>
    <row r="444" spans="1:9" x14ac:dyDescent="0.25">
      <c r="A444" s="57">
        <v>45859</v>
      </c>
      <c r="B444" s="51" t="s">
        <v>12</v>
      </c>
      <c r="C444" s="58">
        <v>0.62152777777777779</v>
      </c>
      <c r="D444" s="58">
        <v>0.62847222222222221</v>
      </c>
      <c r="E444" s="39">
        <f t="shared" si="20"/>
        <v>9.9999999999999645</v>
      </c>
      <c r="F444" s="51" t="s">
        <v>198</v>
      </c>
      <c r="G444" s="51" t="s">
        <v>531</v>
      </c>
      <c r="H444" s="63"/>
      <c r="I444" s="51"/>
    </row>
    <row r="445" spans="1:9" x14ac:dyDescent="0.25">
      <c r="A445" s="57">
        <v>45859</v>
      </c>
      <c r="B445" s="51" t="s">
        <v>12</v>
      </c>
      <c r="C445" s="58">
        <v>0.62847222222222221</v>
      </c>
      <c r="D445" s="58">
        <v>0.65972222222222221</v>
      </c>
      <c r="E445" s="39">
        <f t="shared" si="20"/>
        <v>45</v>
      </c>
      <c r="F445" s="51" t="s">
        <v>198</v>
      </c>
      <c r="G445" s="51" t="s">
        <v>532</v>
      </c>
      <c r="H445" s="51"/>
      <c r="I445" s="51"/>
    </row>
    <row r="446" spans="1:9" x14ac:dyDescent="0.25">
      <c r="A446" s="57">
        <v>45859</v>
      </c>
      <c r="B446" s="51" t="s">
        <v>12</v>
      </c>
      <c r="C446" s="58">
        <v>0.65972222222222221</v>
      </c>
      <c r="D446" s="58">
        <v>0.70138888888888884</v>
      </c>
      <c r="E446" s="39">
        <f t="shared" si="20"/>
        <v>59.999999999999943</v>
      </c>
      <c r="F446" s="51" t="s">
        <v>198</v>
      </c>
      <c r="G446" s="51" t="s">
        <v>533</v>
      </c>
      <c r="H446" s="51"/>
      <c r="I446" s="51"/>
    </row>
    <row r="447" spans="1:9" x14ac:dyDescent="0.25">
      <c r="A447" s="57">
        <v>45859</v>
      </c>
      <c r="B447" s="51" t="s">
        <v>12</v>
      </c>
      <c r="C447" s="58">
        <v>0.70138888888888884</v>
      </c>
      <c r="D447" s="58">
        <v>0.71875</v>
      </c>
      <c r="E447" s="39">
        <f t="shared" si="20"/>
        <v>25.000000000000071</v>
      </c>
      <c r="F447" s="51" t="s">
        <v>198</v>
      </c>
      <c r="G447" s="51" t="s">
        <v>534</v>
      </c>
      <c r="H447" s="51"/>
      <c r="I447" s="51"/>
    </row>
    <row r="448" spans="1:9" x14ac:dyDescent="0.25">
      <c r="A448" s="57">
        <v>45859</v>
      </c>
      <c r="B448" s="51" t="s">
        <v>12</v>
      </c>
      <c r="C448" s="58">
        <v>0.71875</v>
      </c>
      <c r="D448" s="58">
        <v>0.72916666666666663</v>
      </c>
      <c r="E448" s="39">
        <f t="shared" si="20"/>
        <v>14.999999999999947</v>
      </c>
      <c r="F448" s="51" t="s">
        <v>198</v>
      </c>
      <c r="G448" s="51" t="s">
        <v>535</v>
      </c>
      <c r="H448" s="51"/>
      <c r="I448" s="51"/>
    </row>
    <row r="449" spans="1:9" x14ac:dyDescent="0.25">
      <c r="A449" s="35"/>
      <c r="B449" s="53"/>
      <c r="C449" s="35"/>
      <c r="D449" s="35"/>
      <c r="E449" s="35"/>
      <c r="F449" s="53"/>
      <c r="G449" s="35"/>
      <c r="H449" s="35"/>
      <c r="I449" s="35"/>
    </row>
    <row r="450" spans="1:9" ht="14.25" customHeight="1" x14ac:dyDescent="0.25">
      <c r="A450" s="19" t="s">
        <v>1</v>
      </c>
      <c r="B450" s="19" t="s">
        <v>2</v>
      </c>
      <c r="C450" s="54" t="s">
        <v>3</v>
      </c>
      <c r="D450" s="55"/>
      <c r="E450" s="22" t="s">
        <v>4</v>
      </c>
      <c r="F450" s="19" t="s">
        <v>5</v>
      </c>
      <c r="G450" s="19" t="s">
        <v>6</v>
      </c>
      <c r="H450" s="19" t="s">
        <v>7</v>
      </c>
      <c r="I450" s="19" t="s">
        <v>8</v>
      </c>
    </row>
    <row r="451" spans="1:9" x14ac:dyDescent="0.25">
      <c r="A451" s="56"/>
      <c r="B451" s="56"/>
      <c r="C451" s="51" t="s">
        <v>9</v>
      </c>
      <c r="D451" s="51" t="s">
        <v>10</v>
      </c>
      <c r="E451" s="70"/>
      <c r="F451" s="56"/>
      <c r="G451" s="56"/>
      <c r="H451" s="56"/>
      <c r="I451" s="56"/>
    </row>
    <row r="452" spans="1:9" x14ac:dyDescent="0.25">
      <c r="A452" s="57">
        <v>45860</v>
      </c>
      <c r="B452" s="51" t="s">
        <v>59</v>
      </c>
      <c r="C452" s="58">
        <v>0.25</v>
      </c>
      <c r="D452" s="58">
        <v>0.25694444444444442</v>
      </c>
      <c r="E452" s="39">
        <f t="shared" si="20"/>
        <v>9.9999999999999645</v>
      </c>
      <c r="F452" s="51" t="s">
        <v>198</v>
      </c>
      <c r="G452" s="51" t="s">
        <v>536</v>
      </c>
      <c r="H452" s="51"/>
      <c r="I452" s="51"/>
    </row>
    <row r="453" spans="1:9" x14ac:dyDescent="0.25">
      <c r="A453" s="57">
        <v>45860</v>
      </c>
      <c r="B453" s="51" t="s">
        <v>59</v>
      </c>
      <c r="C453" s="58">
        <v>0.25694444444444442</v>
      </c>
      <c r="D453" s="58">
        <v>0.2673611111111111</v>
      </c>
      <c r="E453" s="39">
        <f t="shared" si="20"/>
        <v>15.000000000000027</v>
      </c>
      <c r="F453" s="51" t="s">
        <v>198</v>
      </c>
      <c r="G453" s="51" t="s">
        <v>383</v>
      </c>
      <c r="H453" s="51"/>
      <c r="I453" s="51"/>
    </row>
    <row r="454" spans="1:9" x14ac:dyDescent="0.25">
      <c r="A454" s="57">
        <v>45860</v>
      </c>
      <c r="B454" s="51" t="s">
        <v>59</v>
      </c>
      <c r="C454" s="58">
        <v>0.2673611111111111</v>
      </c>
      <c r="D454" s="58">
        <v>0.27430555555555558</v>
      </c>
      <c r="E454" s="39">
        <f t="shared" si="20"/>
        <v>10.000000000000044</v>
      </c>
      <c r="F454" s="51" t="s">
        <v>198</v>
      </c>
      <c r="G454" s="51" t="s">
        <v>537</v>
      </c>
      <c r="H454" s="51"/>
      <c r="I454" s="51"/>
    </row>
    <row r="455" spans="1:9" x14ac:dyDescent="0.25">
      <c r="A455" s="57">
        <v>45860</v>
      </c>
      <c r="B455" s="51" t="s">
        <v>59</v>
      </c>
      <c r="C455" s="58">
        <v>0.27430555555555558</v>
      </c>
      <c r="D455" s="58">
        <v>0.28472222222222221</v>
      </c>
      <c r="E455" s="39">
        <f t="shared" si="20"/>
        <v>14.999999999999947</v>
      </c>
      <c r="F455" s="51" t="s">
        <v>198</v>
      </c>
      <c r="G455" s="51" t="s">
        <v>307</v>
      </c>
      <c r="H455" s="51"/>
      <c r="I455" s="51"/>
    </row>
    <row r="456" spans="1:9" x14ac:dyDescent="0.25">
      <c r="A456" s="57">
        <v>45860</v>
      </c>
      <c r="B456" s="51" t="s">
        <v>59</v>
      </c>
      <c r="C456" s="58">
        <v>0.28472222222222221</v>
      </c>
      <c r="D456" s="58">
        <v>0.30208333333333331</v>
      </c>
      <c r="E456" s="39">
        <f t="shared" si="20"/>
        <v>24.999999999999993</v>
      </c>
      <c r="F456" s="51" t="s">
        <v>198</v>
      </c>
      <c r="G456" s="51" t="s">
        <v>538</v>
      </c>
      <c r="H456" s="51"/>
      <c r="I456" s="51"/>
    </row>
    <row r="457" spans="1:9" x14ac:dyDescent="0.25">
      <c r="A457" s="57">
        <v>45860</v>
      </c>
      <c r="B457" s="51" t="s">
        <v>59</v>
      </c>
      <c r="C457" s="58">
        <v>0.30208333333333331</v>
      </c>
      <c r="D457" s="58">
        <v>0.3263888888888889</v>
      </c>
      <c r="E457" s="39">
        <f>(D457-C457)*1440</f>
        <v>35.000000000000036</v>
      </c>
      <c r="F457" s="51" t="s">
        <v>198</v>
      </c>
      <c r="G457" s="51" t="s">
        <v>220</v>
      </c>
      <c r="H457" s="51"/>
      <c r="I457" s="51"/>
    </row>
    <row r="458" spans="1:9" x14ac:dyDescent="0.25">
      <c r="A458" s="57">
        <v>45860</v>
      </c>
      <c r="B458" s="51" t="s">
        <v>59</v>
      </c>
      <c r="C458" s="58">
        <v>0.3263888888888889</v>
      </c>
      <c r="D458" s="58">
        <v>0.33333333333333331</v>
      </c>
      <c r="E458" s="39">
        <f t="shared" si="20"/>
        <v>9.9999999999999645</v>
      </c>
      <c r="F458" s="51" t="s">
        <v>198</v>
      </c>
      <c r="G458" s="51" t="s">
        <v>539</v>
      </c>
      <c r="H458" s="51"/>
      <c r="I458" s="51"/>
    </row>
    <row r="459" spans="1:9" x14ac:dyDescent="0.25">
      <c r="A459" s="57">
        <v>45860</v>
      </c>
      <c r="B459" s="51" t="s">
        <v>59</v>
      </c>
      <c r="C459" s="58">
        <v>0.33333333333333331</v>
      </c>
      <c r="D459" s="58">
        <v>0.34027777777777779</v>
      </c>
      <c r="E459" s="39">
        <f t="shared" si="20"/>
        <v>10.000000000000044</v>
      </c>
      <c r="F459" s="51" t="s">
        <v>198</v>
      </c>
      <c r="G459" s="51" t="s">
        <v>540</v>
      </c>
      <c r="H459" s="51"/>
      <c r="I459" s="51"/>
    </row>
    <row r="460" spans="1:9" x14ac:dyDescent="0.25">
      <c r="A460" s="57">
        <v>45860</v>
      </c>
      <c r="B460" s="51" t="s">
        <v>59</v>
      </c>
      <c r="C460" s="58">
        <v>0.34027777777777779</v>
      </c>
      <c r="D460" s="58">
        <v>0.35069444444444442</v>
      </c>
      <c r="E460" s="39">
        <f t="shared" si="20"/>
        <v>14.999999999999947</v>
      </c>
      <c r="F460" s="51" t="s">
        <v>198</v>
      </c>
      <c r="G460" s="51" t="s">
        <v>541</v>
      </c>
      <c r="H460" s="51"/>
      <c r="I460" s="51"/>
    </row>
    <row r="461" spans="1:9" x14ac:dyDescent="0.25">
      <c r="A461" s="57">
        <v>45860</v>
      </c>
      <c r="B461" s="51" t="s">
        <v>59</v>
      </c>
      <c r="C461" s="58">
        <v>0.35069444444444442</v>
      </c>
      <c r="D461" s="58">
        <v>0.3611111111111111</v>
      </c>
      <c r="E461" s="39">
        <f t="shared" si="20"/>
        <v>15.000000000000027</v>
      </c>
      <c r="F461" s="51" t="s">
        <v>198</v>
      </c>
      <c r="G461" s="51" t="s">
        <v>542</v>
      </c>
      <c r="H461" s="51"/>
      <c r="I461" s="51"/>
    </row>
    <row r="462" spans="1:9" x14ac:dyDescent="0.25">
      <c r="A462" s="57">
        <v>45860</v>
      </c>
      <c r="B462" s="51" t="s">
        <v>59</v>
      </c>
      <c r="C462" s="58">
        <v>0.3611111111111111</v>
      </c>
      <c r="D462" s="58">
        <v>0.37152777777777779</v>
      </c>
      <c r="E462" s="39">
        <f t="shared" si="20"/>
        <v>15.000000000000027</v>
      </c>
      <c r="F462" s="51" t="s">
        <v>198</v>
      </c>
      <c r="G462" s="51" t="s">
        <v>543</v>
      </c>
      <c r="H462" s="51"/>
      <c r="I462" s="51"/>
    </row>
    <row r="463" spans="1:9" x14ac:dyDescent="0.25">
      <c r="A463" s="57">
        <v>45860</v>
      </c>
      <c r="B463" s="51" t="s">
        <v>59</v>
      </c>
      <c r="C463" s="58">
        <v>0.37152777777777779</v>
      </c>
      <c r="D463" s="58">
        <v>0.37847222222222221</v>
      </c>
      <c r="E463" s="39">
        <f t="shared" si="20"/>
        <v>9.9999999999999645</v>
      </c>
      <c r="F463" s="51" t="s">
        <v>198</v>
      </c>
      <c r="G463" s="51" t="s">
        <v>327</v>
      </c>
      <c r="H463" s="51"/>
      <c r="I463" s="51"/>
    </row>
    <row r="464" spans="1:9" x14ac:dyDescent="0.25">
      <c r="A464" s="57">
        <v>45860</v>
      </c>
      <c r="B464" s="51" t="s">
        <v>59</v>
      </c>
      <c r="C464" s="58">
        <v>0.37847222222222221</v>
      </c>
      <c r="D464" s="58">
        <v>0.3923611111111111</v>
      </c>
      <c r="E464" s="39">
        <f t="shared" si="20"/>
        <v>20.000000000000007</v>
      </c>
      <c r="F464" s="51" t="s">
        <v>198</v>
      </c>
      <c r="G464" s="51" t="s">
        <v>307</v>
      </c>
      <c r="H464" s="51"/>
      <c r="I464" s="51"/>
    </row>
    <row r="465" spans="1:9" x14ac:dyDescent="0.25">
      <c r="A465" s="57">
        <v>45860</v>
      </c>
      <c r="B465" s="51" t="s">
        <v>59</v>
      </c>
      <c r="C465" s="58">
        <v>0.3923611111111111</v>
      </c>
      <c r="D465" s="58">
        <v>0.40277777777777779</v>
      </c>
      <c r="E465" s="39">
        <f t="shared" si="20"/>
        <v>15.000000000000027</v>
      </c>
      <c r="F465" s="51" t="s">
        <v>198</v>
      </c>
      <c r="G465" s="51" t="s">
        <v>544</v>
      </c>
      <c r="H465" s="51"/>
      <c r="I465" s="51"/>
    </row>
    <row r="466" spans="1:9" x14ac:dyDescent="0.25">
      <c r="A466" s="57">
        <v>45860</v>
      </c>
      <c r="B466" s="51" t="s">
        <v>59</v>
      </c>
      <c r="C466" s="58">
        <v>0.40277777777777779</v>
      </c>
      <c r="D466" s="58">
        <v>0.41666666666666669</v>
      </c>
      <c r="E466" s="39">
        <f>(D466-C466)*1440</f>
        <v>20.000000000000007</v>
      </c>
      <c r="F466" s="51" t="s">
        <v>198</v>
      </c>
      <c r="G466" s="51" t="s">
        <v>224</v>
      </c>
      <c r="H466" s="51"/>
      <c r="I466" s="51"/>
    </row>
    <row r="467" spans="1:9" x14ac:dyDescent="0.25">
      <c r="A467" s="57">
        <v>45860</v>
      </c>
      <c r="B467" s="51" t="s">
        <v>59</v>
      </c>
      <c r="C467" s="58">
        <v>0.41666666666666669</v>
      </c>
      <c r="D467" s="58">
        <v>0.4375</v>
      </c>
      <c r="E467" s="39">
        <f t="shared" si="20"/>
        <v>29.999999999999972</v>
      </c>
      <c r="F467" s="51" t="s">
        <v>198</v>
      </c>
      <c r="G467" s="51" t="s">
        <v>545</v>
      </c>
      <c r="H467" s="51"/>
      <c r="I467" s="51"/>
    </row>
    <row r="468" spans="1:9" x14ac:dyDescent="0.25">
      <c r="A468" s="57">
        <v>45860</v>
      </c>
      <c r="B468" s="51" t="s">
        <v>59</v>
      </c>
      <c r="C468" s="58">
        <v>0.4375</v>
      </c>
      <c r="D468" s="58">
        <v>0.45833333333333331</v>
      </c>
      <c r="E468" s="39">
        <f t="shared" si="20"/>
        <v>29.999999999999972</v>
      </c>
      <c r="F468" s="51" t="s">
        <v>198</v>
      </c>
      <c r="G468" s="51" t="s">
        <v>546</v>
      </c>
      <c r="H468" s="51"/>
      <c r="I468" s="51"/>
    </row>
    <row r="469" spans="1:9" x14ac:dyDescent="0.25">
      <c r="A469" s="57">
        <v>45860</v>
      </c>
      <c r="B469" s="51" t="s">
        <v>59</v>
      </c>
      <c r="C469" s="58">
        <v>0.45833333333333331</v>
      </c>
      <c r="D469" s="58">
        <v>0.48958333333333331</v>
      </c>
      <c r="E469" s="39">
        <f t="shared" si="20"/>
        <v>45</v>
      </c>
      <c r="F469" s="51" t="s">
        <v>198</v>
      </c>
      <c r="G469" s="51" t="s">
        <v>547</v>
      </c>
      <c r="H469" s="51"/>
      <c r="I469" s="51"/>
    </row>
    <row r="470" spans="1:9" x14ac:dyDescent="0.25">
      <c r="A470" s="57">
        <v>45860</v>
      </c>
      <c r="B470" s="51" t="s">
        <v>59</v>
      </c>
      <c r="C470" s="58">
        <v>0.48958333333333331</v>
      </c>
      <c r="D470" s="58">
        <v>0.49652777777777779</v>
      </c>
      <c r="E470" s="39">
        <f t="shared" si="20"/>
        <v>10.000000000000044</v>
      </c>
      <c r="F470" s="51" t="s">
        <v>198</v>
      </c>
      <c r="G470" s="51" t="s">
        <v>548</v>
      </c>
      <c r="H470" s="51"/>
      <c r="I470" s="51"/>
    </row>
    <row r="471" spans="1:9" x14ac:dyDescent="0.25">
      <c r="A471" s="57">
        <v>45860</v>
      </c>
      <c r="B471" s="51" t="s">
        <v>59</v>
      </c>
      <c r="C471" s="58">
        <v>0.49652777777777779</v>
      </c>
      <c r="D471" s="58">
        <v>0.53819444444444442</v>
      </c>
      <c r="E471" s="39">
        <f t="shared" si="20"/>
        <v>59.999999999999943</v>
      </c>
      <c r="F471" s="51" t="s">
        <v>198</v>
      </c>
      <c r="G471" s="51" t="s">
        <v>302</v>
      </c>
      <c r="H471" s="51"/>
      <c r="I471" s="51"/>
    </row>
    <row r="472" spans="1:9" x14ac:dyDescent="0.25">
      <c r="A472" s="57">
        <v>45860</v>
      </c>
      <c r="B472" s="51" t="s">
        <v>59</v>
      </c>
      <c r="C472" s="58">
        <v>0.53819444444444442</v>
      </c>
      <c r="D472" s="58">
        <v>0.5625</v>
      </c>
      <c r="E472" s="39">
        <f t="shared" si="20"/>
        <v>35.000000000000036</v>
      </c>
      <c r="F472" s="51" t="s">
        <v>198</v>
      </c>
      <c r="G472" s="71" t="s">
        <v>549</v>
      </c>
      <c r="H472" s="51"/>
      <c r="I472" s="51"/>
    </row>
    <row r="473" spans="1:9" x14ac:dyDescent="0.25">
      <c r="A473" s="57">
        <v>45860</v>
      </c>
      <c r="B473" s="51" t="s">
        <v>59</v>
      </c>
      <c r="C473" s="58">
        <v>0.5625</v>
      </c>
      <c r="D473" s="58">
        <v>0.57291666666666663</v>
      </c>
      <c r="E473" s="39">
        <f t="shared" si="20"/>
        <v>14.999999999999947</v>
      </c>
      <c r="F473" s="51" t="s">
        <v>198</v>
      </c>
      <c r="G473" s="71" t="s">
        <v>534</v>
      </c>
      <c r="H473" s="51"/>
      <c r="I473" s="51"/>
    </row>
    <row r="474" spans="1:9" x14ac:dyDescent="0.25">
      <c r="A474" s="57">
        <v>45860</v>
      </c>
      <c r="B474" s="51" t="s">
        <v>59</v>
      </c>
      <c r="C474" s="58">
        <v>0.57291666666666663</v>
      </c>
      <c r="D474" s="58">
        <v>0.71527777777777779</v>
      </c>
      <c r="E474" s="39">
        <f t="shared" si="20"/>
        <v>205.00000000000006</v>
      </c>
      <c r="F474" s="51" t="s">
        <v>198</v>
      </c>
      <c r="G474" s="51" t="s">
        <v>550</v>
      </c>
      <c r="H474" s="51"/>
      <c r="I474" s="51"/>
    </row>
    <row r="475" spans="1:9" x14ac:dyDescent="0.25">
      <c r="A475" s="57">
        <v>45860</v>
      </c>
      <c r="B475" s="51" t="s">
        <v>59</v>
      </c>
      <c r="C475" s="58">
        <v>0.71527777777777779</v>
      </c>
      <c r="D475" s="58">
        <v>0.75694444444444442</v>
      </c>
      <c r="E475" s="39">
        <f t="shared" si="20"/>
        <v>59.999999999999943</v>
      </c>
      <c r="F475" s="51" t="s">
        <v>198</v>
      </c>
      <c r="G475" s="51" t="s">
        <v>551</v>
      </c>
      <c r="H475" s="51"/>
      <c r="I475" s="51"/>
    </row>
    <row r="476" spans="1:9" x14ac:dyDescent="0.25">
      <c r="A476" s="35"/>
      <c r="B476" s="53"/>
      <c r="C476" s="35"/>
      <c r="D476" s="35"/>
      <c r="E476" s="35"/>
      <c r="F476" s="53"/>
      <c r="G476" s="35"/>
      <c r="H476" s="35"/>
      <c r="I476" s="35"/>
    </row>
    <row r="477" spans="1:9" x14ac:dyDescent="0.25">
      <c r="A477" s="19" t="s">
        <v>1</v>
      </c>
      <c r="B477" s="19" t="s">
        <v>2</v>
      </c>
      <c r="C477" s="54" t="s">
        <v>3</v>
      </c>
      <c r="D477" s="55"/>
      <c r="E477" s="19" t="s">
        <v>4</v>
      </c>
      <c r="F477" s="19" t="s">
        <v>5</v>
      </c>
      <c r="G477" s="19" t="s">
        <v>6</v>
      </c>
      <c r="H477" s="19" t="s">
        <v>7</v>
      </c>
      <c r="I477" s="19" t="s">
        <v>8</v>
      </c>
    </row>
    <row r="478" spans="1:9" x14ac:dyDescent="0.25">
      <c r="A478" s="56"/>
      <c r="B478" s="56"/>
      <c r="C478" s="51" t="s">
        <v>9</v>
      </c>
      <c r="D478" s="51" t="s">
        <v>10</v>
      </c>
      <c r="E478" s="56"/>
      <c r="F478" s="56"/>
      <c r="G478" s="56"/>
      <c r="H478" s="56"/>
      <c r="I478" s="56"/>
    </row>
    <row r="479" spans="1:9" x14ac:dyDescent="0.25">
      <c r="A479" s="57">
        <v>45861</v>
      </c>
      <c r="B479" s="51" t="s">
        <v>88</v>
      </c>
      <c r="C479" s="58">
        <v>0.25</v>
      </c>
      <c r="D479" s="58">
        <v>0.25694444444444442</v>
      </c>
      <c r="E479" s="39">
        <f t="shared" ref="E479:E504" si="21">(D479-C479)*1440</f>
        <v>9.9999999999999645</v>
      </c>
      <c r="F479" s="51" t="s">
        <v>198</v>
      </c>
      <c r="G479" s="51" t="s">
        <v>536</v>
      </c>
      <c r="H479" s="51"/>
      <c r="I479" s="51"/>
    </row>
    <row r="480" spans="1:9" x14ac:dyDescent="0.25">
      <c r="A480" s="57">
        <v>45861</v>
      </c>
      <c r="B480" s="51" t="s">
        <v>88</v>
      </c>
      <c r="C480" s="58">
        <v>0.25694444444444442</v>
      </c>
      <c r="D480" s="58">
        <v>0.2673611111111111</v>
      </c>
      <c r="E480" s="39">
        <f t="shared" si="21"/>
        <v>15.000000000000027</v>
      </c>
      <c r="F480" s="51" t="s">
        <v>198</v>
      </c>
      <c r="G480" s="51" t="s">
        <v>552</v>
      </c>
      <c r="H480" s="51"/>
      <c r="I480" s="51"/>
    </row>
    <row r="481" spans="1:9" x14ac:dyDescent="0.25">
      <c r="A481" s="57">
        <v>45861</v>
      </c>
      <c r="B481" s="51" t="s">
        <v>88</v>
      </c>
      <c r="C481" s="58">
        <v>0.2673611111111111</v>
      </c>
      <c r="D481" s="58">
        <v>0.27777777777777779</v>
      </c>
      <c r="E481" s="39">
        <f t="shared" si="21"/>
        <v>15.000000000000027</v>
      </c>
      <c r="F481" s="51" t="s">
        <v>198</v>
      </c>
      <c r="G481" s="51" t="s">
        <v>553</v>
      </c>
      <c r="H481" s="51"/>
      <c r="I481" s="51"/>
    </row>
    <row r="482" spans="1:9" x14ac:dyDescent="0.25">
      <c r="A482" s="57">
        <v>45861</v>
      </c>
      <c r="B482" s="51" t="s">
        <v>88</v>
      </c>
      <c r="C482" s="58">
        <v>0.27777777777777779</v>
      </c>
      <c r="D482" s="58">
        <v>0.29166666666666669</v>
      </c>
      <c r="E482" s="39">
        <f t="shared" si="21"/>
        <v>20.000000000000007</v>
      </c>
      <c r="F482" s="51" t="s">
        <v>198</v>
      </c>
      <c r="G482" s="51" t="s">
        <v>383</v>
      </c>
      <c r="H482" s="51"/>
      <c r="I482" s="51"/>
    </row>
    <row r="483" spans="1:9" x14ac:dyDescent="0.25">
      <c r="A483" s="57">
        <v>45861</v>
      </c>
      <c r="B483" s="51" t="s">
        <v>88</v>
      </c>
      <c r="C483" s="58">
        <v>0.29166666666666669</v>
      </c>
      <c r="D483" s="58">
        <v>0.30902777777777779</v>
      </c>
      <c r="E483" s="39">
        <f t="shared" si="21"/>
        <v>24.999999999999993</v>
      </c>
      <c r="F483" s="51" t="s">
        <v>198</v>
      </c>
      <c r="G483" s="51" t="s">
        <v>542</v>
      </c>
      <c r="H483" s="51"/>
      <c r="I483" s="51"/>
    </row>
    <row r="484" spans="1:9" x14ac:dyDescent="0.25">
      <c r="A484" s="57">
        <v>45861</v>
      </c>
      <c r="B484" s="51" t="s">
        <v>88</v>
      </c>
      <c r="C484" s="58">
        <v>0.30902777777777779</v>
      </c>
      <c r="D484" s="58">
        <v>0.31597222222222221</v>
      </c>
      <c r="E484" s="39">
        <f>(D484-C484)*1440</f>
        <v>9.9999999999999645</v>
      </c>
      <c r="F484" s="51" t="s">
        <v>198</v>
      </c>
      <c r="G484" s="51" t="s">
        <v>554</v>
      </c>
      <c r="H484" s="51"/>
      <c r="I484" s="51"/>
    </row>
    <row r="485" spans="1:9" x14ac:dyDescent="0.25">
      <c r="A485" s="57">
        <v>45861</v>
      </c>
      <c r="B485" s="51" t="s">
        <v>88</v>
      </c>
      <c r="C485" s="58">
        <v>0.31597222222222221</v>
      </c>
      <c r="D485" s="58">
        <v>0.3263888888888889</v>
      </c>
      <c r="E485" s="39">
        <f t="shared" ref="E485:E487" si="22">(D485-C485)*1440</f>
        <v>15.000000000000027</v>
      </c>
      <c r="F485" s="51" t="s">
        <v>198</v>
      </c>
      <c r="G485" s="51" t="s">
        <v>555</v>
      </c>
      <c r="H485" s="51"/>
      <c r="I485" s="51"/>
    </row>
    <row r="486" spans="1:9" x14ac:dyDescent="0.25">
      <c r="A486" s="57">
        <v>45861</v>
      </c>
      <c r="B486" s="51" t="s">
        <v>88</v>
      </c>
      <c r="C486" s="58">
        <v>0.3263888888888889</v>
      </c>
      <c r="D486" s="58">
        <v>0.34722222222222221</v>
      </c>
      <c r="E486" s="39">
        <f t="shared" si="22"/>
        <v>29.999999999999972</v>
      </c>
      <c r="F486" s="51" t="s">
        <v>198</v>
      </c>
      <c r="G486" s="51" t="s">
        <v>556</v>
      </c>
      <c r="H486" s="51"/>
      <c r="I486" s="51"/>
    </row>
    <row r="487" spans="1:9" x14ac:dyDescent="0.25">
      <c r="A487" s="57">
        <v>45861</v>
      </c>
      <c r="B487" s="51" t="s">
        <v>88</v>
      </c>
      <c r="C487" s="58">
        <v>0.34722222222222221</v>
      </c>
      <c r="D487" s="58">
        <v>0.34027777777777779</v>
      </c>
      <c r="E487" s="39">
        <f t="shared" si="22"/>
        <v>-9.9999999999999645</v>
      </c>
      <c r="F487" s="51" t="s">
        <v>198</v>
      </c>
      <c r="G487" s="51" t="s">
        <v>557</v>
      </c>
      <c r="H487" s="51"/>
      <c r="I487" s="51"/>
    </row>
    <row r="488" spans="1:9" x14ac:dyDescent="0.25">
      <c r="A488" s="57">
        <v>45861</v>
      </c>
      <c r="B488" s="51" t="s">
        <v>88</v>
      </c>
      <c r="C488" s="58">
        <v>0.34027777777777779</v>
      </c>
      <c r="D488" s="58">
        <v>0.36458333333333331</v>
      </c>
      <c r="E488" s="39">
        <f t="shared" si="21"/>
        <v>34.999999999999957</v>
      </c>
      <c r="F488" s="51" t="s">
        <v>198</v>
      </c>
      <c r="G488" s="51" t="s">
        <v>558</v>
      </c>
      <c r="H488" s="51"/>
      <c r="I488" s="51"/>
    </row>
    <row r="489" spans="1:9" x14ac:dyDescent="0.25">
      <c r="A489" s="57">
        <v>45861</v>
      </c>
      <c r="B489" s="51" t="s">
        <v>88</v>
      </c>
      <c r="C489" s="58">
        <v>0.36458333333333331</v>
      </c>
      <c r="D489" s="58">
        <v>0.37847222222222221</v>
      </c>
      <c r="E489" s="39">
        <f t="shared" si="21"/>
        <v>20.000000000000007</v>
      </c>
      <c r="F489" s="51" t="s">
        <v>198</v>
      </c>
      <c r="G489" s="51" t="s">
        <v>559</v>
      </c>
      <c r="H489" s="51"/>
      <c r="I489" s="51"/>
    </row>
    <row r="490" spans="1:9" x14ac:dyDescent="0.25">
      <c r="A490" s="57">
        <v>45861</v>
      </c>
      <c r="B490" s="51" t="s">
        <v>88</v>
      </c>
      <c r="C490" s="58">
        <v>0.37847222222222221</v>
      </c>
      <c r="D490" s="58">
        <v>0.3923611111111111</v>
      </c>
      <c r="E490" s="39">
        <f t="shared" si="21"/>
        <v>20.000000000000007</v>
      </c>
      <c r="F490" s="51" t="s">
        <v>198</v>
      </c>
      <c r="G490" s="51" t="s">
        <v>560</v>
      </c>
      <c r="H490" s="51"/>
      <c r="I490" s="51"/>
    </row>
    <row r="491" spans="1:9" x14ac:dyDescent="0.25">
      <c r="A491" s="57">
        <v>45861</v>
      </c>
      <c r="B491" s="51" t="s">
        <v>88</v>
      </c>
      <c r="C491" s="58">
        <v>0.3923611111111111</v>
      </c>
      <c r="D491" s="58">
        <v>0.40625</v>
      </c>
      <c r="E491" s="39">
        <f t="shared" si="21"/>
        <v>20.000000000000007</v>
      </c>
      <c r="F491" s="51" t="s">
        <v>198</v>
      </c>
      <c r="G491" s="51" t="s">
        <v>561</v>
      </c>
      <c r="H491" s="51"/>
      <c r="I491" s="51"/>
    </row>
    <row r="492" spans="1:9" x14ac:dyDescent="0.25">
      <c r="A492" s="57">
        <v>45861</v>
      </c>
      <c r="B492" s="51" t="s">
        <v>88</v>
      </c>
      <c r="C492" s="58">
        <v>0.40625</v>
      </c>
      <c r="D492" s="58">
        <v>0.41666666666666669</v>
      </c>
      <c r="E492" s="39">
        <f t="shared" si="21"/>
        <v>15.000000000000027</v>
      </c>
      <c r="F492" s="51" t="s">
        <v>198</v>
      </c>
      <c r="G492" s="51" t="s">
        <v>562</v>
      </c>
      <c r="H492" s="51"/>
      <c r="I492" s="51"/>
    </row>
    <row r="493" spans="1:9" x14ac:dyDescent="0.25">
      <c r="A493" s="57">
        <v>45861</v>
      </c>
      <c r="B493" s="51" t="s">
        <v>88</v>
      </c>
      <c r="C493" s="58">
        <v>0.41666666666666669</v>
      </c>
      <c r="D493" s="58">
        <v>0.43055555555555558</v>
      </c>
      <c r="E493" s="39">
        <f t="shared" si="21"/>
        <v>20.000000000000007</v>
      </c>
      <c r="F493" s="51" t="s">
        <v>198</v>
      </c>
      <c r="G493" s="51" t="s">
        <v>563</v>
      </c>
      <c r="H493" s="51"/>
      <c r="I493" s="51"/>
    </row>
    <row r="494" spans="1:9" x14ac:dyDescent="0.25">
      <c r="A494" s="57">
        <v>45861</v>
      </c>
      <c r="B494" s="51" t="s">
        <v>88</v>
      </c>
      <c r="C494" s="58">
        <v>0.43055555555555558</v>
      </c>
      <c r="D494" s="58">
        <v>0.44097222222222221</v>
      </c>
      <c r="E494" s="39">
        <f t="shared" si="21"/>
        <v>14.999999999999947</v>
      </c>
      <c r="F494" s="51" t="s">
        <v>198</v>
      </c>
      <c r="G494" s="51" t="s">
        <v>564</v>
      </c>
      <c r="H494" s="51"/>
      <c r="I494" s="51"/>
    </row>
    <row r="495" spans="1:9" x14ac:dyDescent="0.25">
      <c r="A495" s="57">
        <v>45861</v>
      </c>
      <c r="B495" s="51" t="s">
        <v>88</v>
      </c>
      <c r="C495" s="58">
        <v>0.44097222222222221</v>
      </c>
      <c r="D495" s="58">
        <v>0.44791666666666669</v>
      </c>
      <c r="E495" s="39">
        <f t="shared" si="21"/>
        <v>10.000000000000044</v>
      </c>
      <c r="F495" s="51" t="s">
        <v>198</v>
      </c>
      <c r="G495" s="51" t="s">
        <v>565</v>
      </c>
      <c r="H495" s="51"/>
      <c r="I495" s="51"/>
    </row>
    <row r="496" spans="1:9" x14ac:dyDescent="0.25">
      <c r="A496" s="57">
        <v>45861</v>
      </c>
      <c r="B496" s="51" t="s">
        <v>88</v>
      </c>
      <c r="C496" s="58">
        <v>0.44791666666666669</v>
      </c>
      <c r="D496" s="58">
        <v>0.45833333333333331</v>
      </c>
      <c r="E496" s="39">
        <f t="shared" si="21"/>
        <v>14.999999999999947</v>
      </c>
      <c r="F496" s="51" t="s">
        <v>198</v>
      </c>
      <c r="G496" s="51" t="s">
        <v>566</v>
      </c>
      <c r="H496" s="51"/>
      <c r="I496" s="51"/>
    </row>
    <row r="497" spans="1:9" x14ac:dyDescent="0.25">
      <c r="A497" s="57">
        <v>45861</v>
      </c>
      <c r="B497" s="51" t="s">
        <v>88</v>
      </c>
      <c r="C497" s="58">
        <v>0.45833333333333331</v>
      </c>
      <c r="D497" s="58">
        <v>0.48958333333333331</v>
      </c>
      <c r="E497" s="39">
        <f t="shared" si="21"/>
        <v>45</v>
      </c>
      <c r="F497" s="51" t="s">
        <v>198</v>
      </c>
      <c r="G497" s="51" t="s">
        <v>567</v>
      </c>
      <c r="H497" s="51"/>
      <c r="I497" s="51"/>
    </row>
    <row r="498" spans="1:9" x14ac:dyDescent="0.25">
      <c r="A498" s="57">
        <v>45861</v>
      </c>
      <c r="B498" s="51" t="s">
        <v>88</v>
      </c>
      <c r="C498" s="58">
        <v>0.48958333333333331</v>
      </c>
      <c r="D498" s="58">
        <v>0.5</v>
      </c>
      <c r="E498" s="39">
        <f t="shared" si="21"/>
        <v>15.000000000000027</v>
      </c>
      <c r="F498" s="51" t="s">
        <v>198</v>
      </c>
      <c r="G498" s="71" t="s">
        <v>568</v>
      </c>
      <c r="H498" s="51"/>
      <c r="I498" s="51"/>
    </row>
    <row r="499" spans="1:9" x14ac:dyDescent="0.25">
      <c r="A499" s="57">
        <v>45861</v>
      </c>
      <c r="B499" s="51" t="s">
        <v>88</v>
      </c>
      <c r="C499" s="58">
        <v>0.5</v>
      </c>
      <c r="D499" s="58">
        <v>0.54166666666666663</v>
      </c>
      <c r="E499" s="39">
        <f t="shared" si="21"/>
        <v>59.999999999999943</v>
      </c>
      <c r="F499" s="51" t="s">
        <v>198</v>
      </c>
      <c r="G499" s="71" t="s">
        <v>302</v>
      </c>
      <c r="H499" s="51"/>
      <c r="I499" s="51"/>
    </row>
    <row r="500" spans="1:9" x14ac:dyDescent="0.25">
      <c r="A500" s="57">
        <v>45861</v>
      </c>
      <c r="B500" s="51" t="s">
        <v>88</v>
      </c>
      <c r="C500" s="58">
        <v>0.54166666666666663</v>
      </c>
      <c r="D500" s="58">
        <v>0.55208333333333337</v>
      </c>
      <c r="E500" s="39">
        <f t="shared" si="21"/>
        <v>15.000000000000107</v>
      </c>
      <c r="F500" s="51" t="s">
        <v>198</v>
      </c>
      <c r="G500" s="51" t="s">
        <v>569</v>
      </c>
      <c r="H500" s="51"/>
      <c r="I500" s="51"/>
    </row>
    <row r="501" spans="1:9" x14ac:dyDescent="0.25">
      <c r="A501" s="57">
        <v>45861</v>
      </c>
      <c r="B501" s="51" t="s">
        <v>88</v>
      </c>
      <c r="C501" s="58">
        <v>0.55208333333333337</v>
      </c>
      <c r="D501" s="58">
        <v>0.5625</v>
      </c>
      <c r="E501" s="39">
        <f t="shared" si="21"/>
        <v>14.999999999999947</v>
      </c>
      <c r="F501" s="51" t="s">
        <v>198</v>
      </c>
      <c r="G501" s="51" t="s">
        <v>570</v>
      </c>
      <c r="H501" s="51"/>
      <c r="I501" s="51"/>
    </row>
    <row r="502" spans="1:9" x14ac:dyDescent="0.25">
      <c r="A502" s="57">
        <v>45861</v>
      </c>
      <c r="B502" s="51" t="s">
        <v>88</v>
      </c>
      <c r="C502" s="58">
        <v>0.5625</v>
      </c>
      <c r="D502" s="58">
        <v>0.58333333333333337</v>
      </c>
      <c r="E502" s="39">
        <f t="shared" si="21"/>
        <v>30.000000000000053</v>
      </c>
      <c r="F502" s="51" t="s">
        <v>198</v>
      </c>
      <c r="G502" s="51" t="s">
        <v>571</v>
      </c>
      <c r="H502" s="51"/>
      <c r="I502" s="51"/>
    </row>
    <row r="503" spans="1:9" x14ac:dyDescent="0.25">
      <c r="A503" s="57">
        <v>45861</v>
      </c>
      <c r="B503" s="51" t="s">
        <v>88</v>
      </c>
      <c r="C503" s="58">
        <v>0.58333333333333337</v>
      </c>
      <c r="D503" s="58">
        <v>0.65625</v>
      </c>
      <c r="E503" s="39">
        <f t="shared" si="21"/>
        <v>104.99999999999994</v>
      </c>
      <c r="F503" s="51" t="s">
        <v>198</v>
      </c>
      <c r="G503" s="51" t="s">
        <v>572</v>
      </c>
      <c r="H503" s="51"/>
      <c r="I503" s="51"/>
    </row>
    <row r="504" spans="1:9" x14ac:dyDescent="0.25">
      <c r="A504" s="57">
        <v>45861</v>
      </c>
      <c r="B504" s="51" t="s">
        <v>88</v>
      </c>
      <c r="C504" s="58">
        <v>0.65625</v>
      </c>
      <c r="D504" s="58">
        <v>0.66666666666666663</v>
      </c>
      <c r="E504" s="39">
        <f t="shared" si="21"/>
        <v>14.999999999999947</v>
      </c>
      <c r="F504" s="51" t="s">
        <v>198</v>
      </c>
      <c r="G504" s="51" t="s">
        <v>573</v>
      </c>
      <c r="H504" s="63"/>
      <c r="I504" s="51"/>
    </row>
    <row r="505" spans="1:9" x14ac:dyDescent="0.25">
      <c r="A505" s="35"/>
      <c r="B505" s="53"/>
      <c r="C505" s="35"/>
      <c r="D505" s="35"/>
      <c r="E505" s="35"/>
      <c r="F505" s="53"/>
      <c r="G505" s="35"/>
      <c r="H505" s="35"/>
      <c r="I505" s="35"/>
    </row>
    <row r="506" spans="1:9" x14ac:dyDescent="0.25">
      <c r="A506" s="19" t="s">
        <v>1</v>
      </c>
      <c r="B506" s="19" t="s">
        <v>2</v>
      </c>
      <c r="C506" s="54" t="s">
        <v>574</v>
      </c>
      <c r="D506" s="55"/>
      <c r="E506" s="19" t="s">
        <v>4</v>
      </c>
      <c r="F506" s="19" t="s">
        <v>5</v>
      </c>
      <c r="G506" s="19" t="s">
        <v>6</v>
      </c>
      <c r="H506" s="19" t="s">
        <v>7</v>
      </c>
      <c r="I506" s="19" t="s">
        <v>8</v>
      </c>
    </row>
    <row r="507" spans="1:9" x14ac:dyDescent="0.25">
      <c r="A507" s="56"/>
      <c r="B507" s="56"/>
      <c r="C507" s="51" t="s">
        <v>9</v>
      </c>
      <c r="D507" s="51" t="s">
        <v>10</v>
      </c>
      <c r="E507" s="56"/>
      <c r="F507" s="56"/>
      <c r="G507" s="56"/>
      <c r="H507" s="56"/>
      <c r="I507" s="56"/>
    </row>
    <row r="508" spans="1:9" x14ac:dyDescent="0.25">
      <c r="A508" s="57">
        <v>45862</v>
      </c>
      <c r="B508" s="51" t="s">
        <v>91</v>
      </c>
      <c r="C508" s="58"/>
      <c r="D508" s="58"/>
      <c r="E508" s="39">
        <f t="shared" ref="E508:E535" si="23">(D508-C508)*1440</f>
        <v>0</v>
      </c>
      <c r="F508" s="51" t="s">
        <v>198</v>
      </c>
      <c r="G508" s="51"/>
      <c r="H508" s="51"/>
      <c r="I508" s="51"/>
    </row>
    <row r="509" spans="1:9" x14ac:dyDescent="0.25">
      <c r="A509" s="57">
        <v>45862</v>
      </c>
      <c r="B509" s="51" t="s">
        <v>91</v>
      </c>
      <c r="C509" s="58"/>
      <c r="D509" s="58"/>
      <c r="E509" s="39">
        <f t="shared" si="23"/>
        <v>0</v>
      </c>
      <c r="F509" s="51" t="s">
        <v>198</v>
      </c>
      <c r="G509" s="51"/>
      <c r="H509" s="51"/>
      <c r="I509" s="51"/>
    </row>
    <row r="510" spans="1:9" x14ac:dyDescent="0.25">
      <c r="A510" s="57">
        <v>45862</v>
      </c>
      <c r="B510" s="51" t="s">
        <v>91</v>
      </c>
      <c r="C510" s="58"/>
      <c r="D510" s="58"/>
      <c r="E510" s="39">
        <f t="shared" si="23"/>
        <v>0</v>
      </c>
      <c r="F510" s="51" t="s">
        <v>198</v>
      </c>
      <c r="G510" s="51"/>
      <c r="H510" s="51"/>
      <c r="I510" s="51"/>
    </row>
    <row r="511" spans="1:9" x14ac:dyDescent="0.25">
      <c r="A511" s="57">
        <v>45862</v>
      </c>
      <c r="B511" s="51" t="s">
        <v>91</v>
      </c>
      <c r="C511" s="58"/>
      <c r="D511" s="58"/>
      <c r="E511" s="39">
        <f t="shared" si="23"/>
        <v>0</v>
      </c>
      <c r="F511" s="51" t="s">
        <v>198</v>
      </c>
      <c r="G511" s="51"/>
      <c r="H511" s="51"/>
      <c r="I511" s="51"/>
    </row>
    <row r="512" spans="1:9" x14ac:dyDescent="0.25">
      <c r="A512" s="57">
        <v>45862</v>
      </c>
      <c r="B512" s="51" t="s">
        <v>91</v>
      </c>
      <c r="C512" s="58"/>
      <c r="D512" s="58"/>
      <c r="E512" s="39">
        <f t="shared" si="23"/>
        <v>0</v>
      </c>
      <c r="F512" s="51" t="s">
        <v>198</v>
      </c>
      <c r="G512" s="51"/>
      <c r="H512" s="51"/>
      <c r="I512" s="51"/>
    </row>
    <row r="513" spans="1:9" x14ac:dyDescent="0.25">
      <c r="A513" s="57">
        <v>45862</v>
      </c>
      <c r="B513" s="51" t="s">
        <v>91</v>
      </c>
      <c r="C513" s="58"/>
      <c r="D513" s="58"/>
      <c r="E513" s="39">
        <f t="shared" si="23"/>
        <v>0</v>
      </c>
      <c r="F513" s="51" t="s">
        <v>198</v>
      </c>
      <c r="G513" s="51"/>
      <c r="H513" s="51"/>
      <c r="I513" s="51"/>
    </row>
    <row r="514" spans="1:9" x14ac:dyDescent="0.25">
      <c r="A514" s="57">
        <v>45862</v>
      </c>
      <c r="B514" s="51" t="s">
        <v>91</v>
      </c>
      <c r="C514" s="58"/>
      <c r="D514" s="58"/>
      <c r="E514" s="39">
        <f t="shared" si="23"/>
        <v>0</v>
      </c>
      <c r="F514" s="51" t="s">
        <v>198</v>
      </c>
      <c r="G514" s="51"/>
      <c r="H514" s="51"/>
      <c r="I514" s="51"/>
    </row>
    <row r="515" spans="1:9" x14ac:dyDescent="0.25">
      <c r="A515" s="57">
        <v>45862</v>
      </c>
      <c r="B515" s="51" t="s">
        <v>91</v>
      </c>
      <c r="C515" s="58"/>
      <c r="D515" s="58"/>
      <c r="E515" s="39">
        <f t="shared" si="23"/>
        <v>0</v>
      </c>
      <c r="F515" s="51" t="s">
        <v>198</v>
      </c>
      <c r="G515" s="51"/>
      <c r="H515" s="51"/>
      <c r="I515" s="51"/>
    </row>
    <row r="516" spans="1:9" x14ac:dyDescent="0.25">
      <c r="A516" s="57">
        <v>45862</v>
      </c>
      <c r="B516" s="51" t="s">
        <v>91</v>
      </c>
      <c r="C516" s="58"/>
      <c r="D516" s="58"/>
      <c r="E516" s="39">
        <f t="shared" si="23"/>
        <v>0</v>
      </c>
      <c r="F516" s="51" t="s">
        <v>198</v>
      </c>
      <c r="G516" s="51"/>
      <c r="H516" s="51"/>
      <c r="I516" s="51"/>
    </row>
    <row r="517" spans="1:9" x14ac:dyDescent="0.25">
      <c r="A517" s="57">
        <v>45862</v>
      </c>
      <c r="B517" s="51" t="s">
        <v>91</v>
      </c>
      <c r="C517" s="58"/>
      <c r="D517" s="58"/>
      <c r="E517" s="39">
        <f t="shared" si="23"/>
        <v>0</v>
      </c>
      <c r="F517" s="51" t="s">
        <v>198</v>
      </c>
      <c r="G517" s="51"/>
      <c r="H517" s="51"/>
      <c r="I517" s="51"/>
    </row>
    <row r="518" spans="1:9" x14ac:dyDescent="0.25">
      <c r="A518" s="57">
        <v>45862</v>
      </c>
      <c r="B518" s="51" t="s">
        <v>91</v>
      </c>
      <c r="C518" s="58"/>
      <c r="D518" s="58"/>
      <c r="E518" s="39">
        <f t="shared" si="23"/>
        <v>0</v>
      </c>
      <c r="F518" s="51" t="s">
        <v>198</v>
      </c>
      <c r="G518" s="51"/>
      <c r="H518" s="51"/>
      <c r="I518" s="51"/>
    </row>
    <row r="519" spans="1:9" x14ac:dyDescent="0.25">
      <c r="A519" s="57">
        <v>45862</v>
      </c>
      <c r="B519" s="51" t="s">
        <v>91</v>
      </c>
      <c r="C519" s="58"/>
      <c r="D519" s="58"/>
      <c r="E519" s="39">
        <f t="shared" si="23"/>
        <v>0</v>
      </c>
      <c r="F519" s="51" t="s">
        <v>198</v>
      </c>
      <c r="G519" s="51"/>
      <c r="H519" s="51"/>
      <c r="I519" s="51"/>
    </row>
    <row r="520" spans="1:9" x14ac:dyDescent="0.25">
      <c r="A520" s="57">
        <v>45862</v>
      </c>
      <c r="B520" s="51" t="s">
        <v>91</v>
      </c>
      <c r="C520" s="58"/>
      <c r="D520" s="58"/>
      <c r="E520" s="39">
        <f t="shared" si="23"/>
        <v>0</v>
      </c>
      <c r="F520" s="51" t="s">
        <v>198</v>
      </c>
      <c r="G520" s="51"/>
      <c r="H520" s="51"/>
      <c r="I520" s="51"/>
    </row>
    <row r="521" spans="1:9" x14ac:dyDescent="0.25">
      <c r="A521" s="57">
        <v>45862</v>
      </c>
      <c r="B521" s="51" t="s">
        <v>91</v>
      </c>
      <c r="C521" s="58"/>
      <c r="D521" s="58"/>
      <c r="E521" s="39">
        <f t="shared" si="23"/>
        <v>0</v>
      </c>
      <c r="F521" s="51" t="s">
        <v>198</v>
      </c>
      <c r="G521" s="51"/>
      <c r="H521" s="51"/>
      <c r="I521" s="51"/>
    </row>
    <row r="522" spans="1:9" x14ac:dyDescent="0.25">
      <c r="A522" s="57">
        <v>45862</v>
      </c>
      <c r="B522" s="51" t="s">
        <v>91</v>
      </c>
      <c r="C522" s="58"/>
      <c r="D522" s="58"/>
      <c r="E522" s="39">
        <f t="shared" si="23"/>
        <v>0</v>
      </c>
      <c r="F522" s="51" t="s">
        <v>198</v>
      </c>
      <c r="G522" s="51"/>
      <c r="H522" s="51"/>
      <c r="I522" s="51"/>
    </row>
    <row r="523" spans="1:9" x14ac:dyDescent="0.25">
      <c r="A523" s="57">
        <v>45862</v>
      </c>
      <c r="B523" s="51" t="s">
        <v>91</v>
      </c>
      <c r="C523" s="58"/>
      <c r="D523" s="58"/>
      <c r="E523" s="39">
        <f t="shared" si="23"/>
        <v>0</v>
      </c>
      <c r="F523" s="51" t="s">
        <v>198</v>
      </c>
      <c r="G523" s="51"/>
      <c r="H523" s="51"/>
      <c r="I523" s="51"/>
    </row>
    <row r="524" spans="1:9" x14ac:dyDescent="0.25">
      <c r="A524" s="57">
        <v>45862</v>
      </c>
      <c r="B524" s="51" t="s">
        <v>91</v>
      </c>
      <c r="C524" s="58"/>
      <c r="D524" s="58"/>
      <c r="E524" s="39">
        <f t="shared" si="23"/>
        <v>0</v>
      </c>
      <c r="F524" s="51" t="s">
        <v>198</v>
      </c>
      <c r="G524" s="51"/>
      <c r="H524" s="51"/>
      <c r="I524" s="51"/>
    </row>
    <row r="525" spans="1:9" x14ac:dyDescent="0.25">
      <c r="A525" s="57">
        <v>45862</v>
      </c>
      <c r="B525" s="51" t="s">
        <v>91</v>
      </c>
      <c r="C525" s="58"/>
      <c r="D525" s="58"/>
      <c r="E525" s="39">
        <f t="shared" si="23"/>
        <v>0</v>
      </c>
      <c r="F525" s="51" t="s">
        <v>198</v>
      </c>
      <c r="G525" s="51"/>
      <c r="H525" s="51"/>
      <c r="I525" s="51"/>
    </row>
    <row r="526" spans="1:9" x14ac:dyDescent="0.25">
      <c r="A526" s="57">
        <v>45862</v>
      </c>
      <c r="B526" s="51" t="s">
        <v>91</v>
      </c>
      <c r="C526" s="58"/>
      <c r="D526" s="58"/>
      <c r="E526" s="39">
        <f t="shared" si="23"/>
        <v>0</v>
      </c>
      <c r="F526" s="51" t="s">
        <v>198</v>
      </c>
      <c r="G526" s="71"/>
      <c r="H526" s="51"/>
      <c r="I526" s="51"/>
    </row>
    <row r="527" spans="1:9" x14ac:dyDescent="0.25">
      <c r="A527" s="57">
        <v>45862</v>
      </c>
      <c r="B527" s="51" t="s">
        <v>91</v>
      </c>
      <c r="C527" s="58"/>
      <c r="D527" s="58"/>
      <c r="E527" s="39">
        <f t="shared" si="23"/>
        <v>0</v>
      </c>
      <c r="F527" s="51" t="s">
        <v>198</v>
      </c>
      <c r="G527" s="51"/>
      <c r="H527" s="51"/>
      <c r="I527" s="51"/>
    </row>
    <row r="528" spans="1:9" x14ac:dyDescent="0.25">
      <c r="A528" s="57">
        <v>45862</v>
      </c>
      <c r="B528" s="51" t="s">
        <v>91</v>
      </c>
      <c r="C528" s="58"/>
      <c r="D528" s="58"/>
      <c r="E528" s="39">
        <f t="shared" si="23"/>
        <v>0</v>
      </c>
      <c r="F528" s="51" t="s">
        <v>198</v>
      </c>
      <c r="G528" s="51"/>
      <c r="H528" s="51"/>
      <c r="I528" s="51"/>
    </row>
    <row r="529" spans="1:9" x14ac:dyDescent="0.25">
      <c r="A529" s="57">
        <v>45862</v>
      </c>
      <c r="B529" s="51" t="s">
        <v>91</v>
      </c>
      <c r="C529" s="58"/>
      <c r="D529" s="58"/>
      <c r="E529" s="39">
        <f t="shared" si="23"/>
        <v>0</v>
      </c>
      <c r="F529" s="51" t="s">
        <v>198</v>
      </c>
      <c r="G529" s="51"/>
      <c r="H529" s="51"/>
      <c r="I529" s="51"/>
    </row>
    <row r="530" spans="1:9" x14ac:dyDescent="0.25">
      <c r="A530" s="57">
        <v>45862</v>
      </c>
      <c r="B530" s="51" t="s">
        <v>91</v>
      </c>
      <c r="C530" s="58"/>
      <c r="D530" s="58"/>
      <c r="E530" s="39">
        <f t="shared" si="23"/>
        <v>0</v>
      </c>
      <c r="F530" s="51" t="s">
        <v>198</v>
      </c>
      <c r="G530" s="51"/>
      <c r="H530" s="51"/>
      <c r="I530" s="51"/>
    </row>
    <row r="531" spans="1:9" x14ac:dyDescent="0.25">
      <c r="A531" s="57">
        <v>45862</v>
      </c>
      <c r="B531" s="51" t="s">
        <v>91</v>
      </c>
      <c r="C531" s="58"/>
      <c r="D531" s="58"/>
      <c r="E531" s="39">
        <f t="shared" si="23"/>
        <v>0</v>
      </c>
      <c r="F531" s="51" t="s">
        <v>198</v>
      </c>
      <c r="G531" s="51"/>
      <c r="H531" s="51"/>
      <c r="I531" s="51"/>
    </row>
    <row r="532" spans="1:9" x14ac:dyDescent="0.25">
      <c r="A532" s="57">
        <v>45862</v>
      </c>
      <c r="B532" s="51" t="s">
        <v>91</v>
      </c>
      <c r="C532" s="58"/>
      <c r="D532" s="58"/>
      <c r="E532" s="39">
        <f t="shared" si="23"/>
        <v>0</v>
      </c>
      <c r="F532" s="51" t="s">
        <v>198</v>
      </c>
      <c r="G532" s="51"/>
      <c r="H532" s="51"/>
      <c r="I532" s="51"/>
    </row>
    <row r="533" spans="1:9" x14ac:dyDescent="0.25">
      <c r="A533" s="57">
        <v>45862</v>
      </c>
      <c r="B533" s="51" t="s">
        <v>91</v>
      </c>
      <c r="C533" s="58"/>
      <c r="D533" s="58"/>
      <c r="E533" s="39">
        <f t="shared" si="23"/>
        <v>0</v>
      </c>
      <c r="F533" s="51" t="s">
        <v>198</v>
      </c>
      <c r="G533" s="51"/>
      <c r="H533" s="63"/>
      <c r="I533" s="51"/>
    </row>
    <row r="534" spans="1:9" x14ac:dyDescent="0.25">
      <c r="A534" s="57">
        <v>45862</v>
      </c>
      <c r="B534" s="51" t="s">
        <v>91</v>
      </c>
      <c r="C534" s="58"/>
      <c r="D534" s="58"/>
      <c r="E534" s="39">
        <f t="shared" si="23"/>
        <v>0</v>
      </c>
      <c r="F534" s="51" t="s">
        <v>198</v>
      </c>
      <c r="G534" s="51"/>
      <c r="H534" s="51"/>
      <c r="I534" s="51"/>
    </row>
    <row r="535" spans="1:9" x14ac:dyDescent="0.25">
      <c r="A535" s="57">
        <v>45862</v>
      </c>
      <c r="B535" s="51" t="s">
        <v>91</v>
      </c>
      <c r="C535" s="58"/>
      <c r="D535" s="58"/>
      <c r="E535" s="39">
        <f t="shared" si="23"/>
        <v>0</v>
      </c>
      <c r="F535" s="51" t="s">
        <v>198</v>
      </c>
      <c r="G535" s="51"/>
      <c r="H535" s="51"/>
      <c r="I535" s="51"/>
    </row>
    <row r="536" spans="1:9" x14ac:dyDescent="0.25">
      <c r="A536" s="35"/>
      <c r="B536" s="53"/>
      <c r="C536" s="35"/>
      <c r="D536" s="35"/>
      <c r="E536" s="35"/>
      <c r="F536" s="53"/>
      <c r="G536" s="35"/>
      <c r="H536" s="35"/>
      <c r="I536" s="35"/>
    </row>
    <row r="537" spans="1:9" x14ac:dyDescent="0.25">
      <c r="A537" s="19" t="s">
        <v>1</v>
      </c>
      <c r="B537" s="19" t="s">
        <v>2</v>
      </c>
      <c r="C537" s="54" t="s">
        <v>3</v>
      </c>
      <c r="D537" s="55"/>
      <c r="E537" s="19" t="s">
        <v>4</v>
      </c>
      <c r="F537" s="19" t="s">
        <v>5</v>
      </c>
      <c r="G537" s="19" t="s">
        <v>6</v>
      </c>
      <c r="H537" s="19" t="s">
        <v>7</v>
      </c>
      <c r="I537" s="19" t="s">
        <v>8</v>
      </c>
    </row>
    <row r="538" spans="1:9" x14ac:dyDescent="0.25">
      <c r="A538" s="56"/>
      <c r="B538" s="56"/>
      <c r="C538" s="51" t="s">
        <v>9</v>
      </c>
      <c r="D538" s="51" t="s">
        <v>10</v>
      </c>
      <c r="E538" s="56"/>
      <c r="F538" s="56"/>
      <c r="G538" s="56"/>
      <c r="H538" s="56"/>
      <c r="I538" s="56"/>
    </row>
    <row r="539" spans="1:9" x14ac:dyDescent="0.25">
      <c r="A539" s="57">
        <v>45863</v>
      </c>
      <c r="B539" s="51" t="s">
        <v>289</v>
      </c>
      <c r="C539" s="58"/>
      <c r="D539" s="58"/>
      <c r="E539" s="39">
        <f t="shared" ref="E539:E566" si="24">(D539-C539)*1440</f>
        <v>0</v>
      </c>
      <c r="F539" s="51" t="s">
        <v>198</v>
      </c>
      <c r="G539" s="51"/>
      <c r="H539" s="51"/>
      <c r="I539" s="51"/>
    </row>
    <row r="540" spans="1:9" x14ac:dyDescent="0.25">
      <c r="A540" s="57">
        <v>45863</v>
      </c>
      <c r="B540" s="51" t="s">
        <v>289</v>
      </c>
      <c r="C540" s="58"/>
      <c r="D540" s="58"/>
      <c r="E540" s="39">
        <f t="shared" si="24"/>
        <v>0</v>
      </c>
      <c r="F540" s="51" t="s">
        <v>198</v>
      </c>
      <c r="G540" s="51"/>
      <c r="H540" s="51"/>
      <c r="I540" s="51"/>
    </row>
    <row r="541" spans="1:9" x14ac:dyDescent="0.25">
      <c r="A541" s="57">
        <v>45863</v>
      </c>
      <c r="B541" s="51" t="s">
        <v>289</v>
      </c>
      <c r="C541" s="58"/>
      <c r="D541" s="58"/>
      <c r="E541" s="39">
        <f t="shared" si="24"/>
        <v>0</v>
      </c>
      <c r="F541" s="51" t="s">
        <v>198</v>
      </c>
      <c r="G541" s="51"/>
      <c r="H541" s="51"/>
      <c r="I541" s="51"/>
    </row>
    <row r="542" spans="1:9" x14ac:dyDescent="0.25">
      <c r="A542" s="57">
        <v>45863</v>
      </c>
      <c r="B542" s="51" t="s">
        <v>289</v>
      </c>
      <c r="C542" s="58"/>
      <c r="D542" s="58"/>
      <c r="E542" s="39">
        <f t="shared" si="24"/>
        <v>0</v>
      </c>
      <c r="F542" s="51" t="s">
        <v>198</v>
      </c>
      <c r="G542" s="51"/>
      <c r="H542" s="51"/>
      <c r="I542" s="51"/>
    </row>
    <row r="543" spans="1:9" x14ac:dyDescent="0.25">
      <c r="A543" s="57">
        <v>45863</v>
      </c>
      <c r="B543" s="51" t="s">
        <v>289</v>
      </c>
      <c r="C543" s="58"/>
      <c r="D543" s="58"/>
      <c r="E543" s="39">
        <f t="shared" si="24"/>
        <v>0</v>
      </c>
      <c r="F543" s="51" t="s">
        <v>198</v>
      </c>
      <c r="G543" s="51"/>
      <c r="H543" s="51"/>
      <c r="I543" s="51"/>
    </row>
    <row r="544" spans="1:9" x14ac:dyDescent="0.25">
      <c r="A544" s="57">
        <v>45863</v>
      </c>
      <c r="B544" s="51" t="s">
        <v>289</v>
      </c>
      <c r="C544" s="58"/>
      <c r="D544" s="58"/>
      <c r="E544" s="39">
        <f t="shared" si="24"/>
        <v>0</v>
      </c>
      <c r="F544" s="51" t="s">
        <v>198</v>
      </c>
      <c r="G544" s="51"/>
      <c r="H544" s="51"/>
      <c r="I544" s="51"/>
    </row>
    <row r="545" spans="1:9" x14ac:dyDescent="0.25">
      <c r="A545" s="57">
        <v>45863</v>
      </c>
      <c r="B545" s="51" t="s">
        <v>289</v>
      </c>
      <c r="C545" s="58"/>
      <c r="D545" s="58"/>
      <c r="E545" s="39">
        <f t="shared" si="24"/>
        <v>0</v>
      </c>
      <c r="F545" s="51" t="s">
        <v>198</v>
      </c>
      <c r="G545" s="51"/>
      <c r="H545" s="51"/>
      <c r="I545" s="51"/>
    </row>
    <row r="546" spans="1:9" x14ac:dyDescent="0.25">
      <c r="A546" s="57">
        <v>45863</v>
      </c>
      <c r="B546" s="51" t="s">
        <v>289</v>
      </c>
      <c r="C546" s="58"/>
      <c r="D546" s="58"/>
      <c r="E546" s="39">
        <f t="shared" si="24"/>
        <v>0</v>
      </c>
      <c r="F546" s="51" t="s">
        <v>198</v>
      </c>
      <c r="G546" s="51"/>
      <c r="H546" s="51"/>
      <c r="I546" s="51"/>
    </row>
    <row r="547" spans="1:9" x14ac:dyDescent="0.25">
      <c r="A547" s="57">
        <v>45863</v>
      </c>
      <c r="B547" s="51" t="s">
        <v>289</v>
      </c>
      <c r="C547" s="58"/>
      <c r="D547" s="58"/>
      <c r="E547" s="39">
        <f t="shared" si="24"/>
        <v>0</v>
      </c>
      <c r="F547" s="51" t="s">
        <v>198</v>
      </c>
      <c r="G547" s="51"/>
      <c r="H547" s="51"/>
      <c r="I547" s="51"/>
    </row>
    <row r="548" spans="1:9" x14ac:dyDescent="0.25">
      <c r="A548" s="57">
        <v>45863</v>
      </c>
      <c r="B548" s="51" t="s">
        <v>289</v>
      </c>
      <c r="C548" s="58"/>
      <c r="D548" s="58"/>
      <c r="E548" s="39">
        <f t="shared" si="24"/>
        <v>0</v>
      </c>
      <c r="F548" s="51" t="s">
        <v>198</v>
      </c>
      <c r="G548" s="51"/>
      <c r="H548" s="51"/>
      <c r="I548" s="51"/>
    </row>
    <row r="549" spans="1:9" x14ac:dyDescent="0.25">
      <c r="A549" s="57">
        <v>45863</v>
      </c>
      <c r="B549" s="51" t="s">
        <v>289</v>
      </c>
      <c r="C549" s="58"/>
      <c r="D549" s="58"/>
      <c r="E549" s="39">
        <f t="shared" si="24"/>
        <v>0</v>
      </c>
      <c r="F549" s="51" t="s">
        <v>198</v>
      </c>
      <c r="G549" s="51"/>
      <c r="H549" s="51"/>
      <c r="I549" s="51"/>
    </row>
    <row r="550" spans="1:9" x14ac:dyDescent="0.25">
      <c r="A550" s="57">
        <v>45863</v>
      </c>
      <c r="B550" s="51" t="s">
        <v>289</v>
      </c>
      <c r="C550" s="58"/>
      <c r="D550" s="58"/>
      <c r="E550" s="39">
        <f t="shared" si="24"/>
        <v>0</v>
      </c>
      <c r="F550" s="51" t="s">
        <v>198</v>
      </c>
      <c r="G550" s="51"/>
      <c r="H550" s="51"/>
      <c r="I550" s="51"/>
    </row>
    <row r="551" spans="1:9" x14ac:dyDescent="0.25">
      <c r="A551" s="57">
        <v>45863</v>
      </c>
      <c r="B551" s="51" t="s">
        <v>289</v>
      </c>
      <c r="C551" s="58"/>
      <c r="D551" s="58"/>
      <c r="E551" s="39">
        <f t="shared" si="24"/>
        <v>0</v>
      </c>
      <c r="F551" s="51" t="s">
        <v>198</v>
      </c>
      <c r="G551" s="51"/>
      <c r="H551" s="51"/>
      <c r="I551" s="51"/>
    </row>
    <row r="552" spans="1:9" x14ac:dyDescent="0.25">
      <c r="A552" s="57">
        <v>45863</v>
      </c>
      <c r="B552" s="51" t="s">
        <v>289</v>
      </c>
      <c r="C552" s="58"/>
      <c r="D552" s="58"/>
      <c r="E552" s="39">
        <f t="shared" si="24"/>
        <v>0</v>
      </c>
      <c r="F552" s="51" t="s">
        <v>198</v>
      </c>
      <c r="G552" s="51"/>
      <c r="H552" s="51"/>
      <c r="I552" s="51"/>
    </row>
    <row r="553" spans="1:9" x14ac:dyDescent="0.25">
      <c r="A553" s="57">
        <v>45863</v>
      </c>
      <c r="B553" s="51" t="s">
        <v>289</v>
      </c>
      <c r="C553" s="58"/>
      <c r="D553" s="58"/>
      <c r="E553" s="39">
        <f t="shared" si="24"/>
        <v>0</v>
      </c>
      <c r="F553" s="51" t="s">
        <v>198</v>
      </c>
      <c r="G553" s="51"/>
      <c r="H553" s="51"/>
      <c r="I553" s="51"/>
    </row>
    <row r="554" spans="1:9" x14ac:dyDescent="0.25">
      <c r="A554" s="57">
        <v>45863</v>
      </c>
      <c r="B554" s="51" t="s">
        <v>289</v>
      </c>
      <c r="C554" s="58"/>
      <c r="D554" s="58"/>
      <c r="E554" s="39">
        <f t="shared" si="24"/>
        <v>0</v>
      </c>
      <c r="F554" s="51" t="s">
        <v>198</v>
      </c>
      <c r="G554" s="51"/>
      <c r="H554" s="51"/>
      <c r="I554" s="51"/>
    </row>
    <row r="555" spans="1:9" x14ac:dyDescent="0.25">
      <c r="A555" s="57">
        <v>45863</v>
      </c>
      <c r="B555" s="51" t="s">
        <v>289</v>
      </c>
      <c r="C555" s="58"/>
      <c r="D555" s="58"/>
      <c r="E555" s="39">
        <f t="shared" si="24"/>
        <v>0</v>
      </c>
      <c r="F555" s="51" t="s">
        <v>198</v>
      </c>
      <c r="G555" s="51"/>
      <c r="H555" s="51"/>
      <c r="I555" s="51"/>
    </row>
    <row r="556" spans="1:9" x14ac:dyDescent="0.25">
      <c r="A556" s="57">
        <v>45863</v>
      </c>
      <c r="B556" s="51" t="s">
        <v>289</v>
      </c>
      <c r="C556" s="58"/>
      <c r="D556" s="58"/>
      <c r="E556" s="39">
        <f t="shared" si="24"/>
        <v>0</v>
      </c>
      <c r="F556" s="51" t="s">
        <v>198</v>
      </c>
      <c r="G556" s="51"/>
      <c r="H556" s="51"/>
      <c r="I556" s="51"/>
    </row>
    <row r="557" spans="1:9" x14ac:dyDescent="0.25">
      <c r="A557" s="57">
        <v>45863</v>
      </c>
      <c r="B557" s="51" t="s">
        <v>289</v>
      </c>
      <c r="C557" s="58"/>
      <c r="D557" s="58"/>
      <c r="E557" s="39">
        <f t="shared" si="24"/>
        <v>0</v>
      </c>
      <c r="F557" s="51" t="s">
        <v>198</v>
      </c>
      <c r="G557" s="71"/>
      <c r="H557" s="51"/>
      <c r="I557" s="51"/>
    </row>
    <row r="558" spans="1:9" x14ac:dyDescent="0.25">
      <c r="A558" s="57">
        <v>45863</v>
      </c>
      <c r="B558" s="51" t="s">
        <v>289</v>
      </c>
      <c r="C558" s="58"/>
      <c r="D558" s="58"/>
      <c r="E558" s="39">
        <f t="shared" si="24"/>
        <v>0</v>
      </c>
      <c r="F558" s="51" t="s">
        <v>198</v>
      </c>
      <c r="G558" s="51"/>
      <c r="H558" s="51"/>
      <c r="I558" s="51"/>
    </row>
    <row r="559" spans="1:9" x14ac:dyDescent="0.25">
      <c r="A559" s="57">
        <v>45863</v>
      </c>
      <c r="B559" s="51" t="s">
        <v>289</v>
      </c>
      <c r="C559" s="58"/>
      <c r="D559" s="58"/>
      <c r="E559" s="39">
        <f t="shared" si="24"/>
        <v>0</v>
      </c>
      <c r="F559" s="51" t="s">
        <v>198</v>
      </c>
      <c r="G559" s="51"/>
      <c r="H559" s="51"/>
      <c r="I559" s="51"/>
    </row>
    <row r="560" spans="1:9" x14ac:dyDescent="0.25">
      <c r="A560" s="57">
        <v>45863</v>
      </c>
      <c r="B560" s="51" t="s">
        <v>289</v>
      </c>
      <c r="C560" s="58"/>
      <c r="D560" s="58"/>
      <c r="E560" s="39">
        <f t="shared" si="24"/>
        <v>0</v>
      </c>
      <c r="F560" s="51" t="s">
        <v>198</v>
      </c>
      <c r="G560" s="51"/>
      <c r="H560" s="51"/>
      <c r="I560" s="51"/>
    </row>
    <row r="561" spans="1:9" x14ac:dyDescent="0.25">
      <c r="A561" s="57">
        <v>45863</v>
      </c>
      <c r="B561" s="51" t="s">
        <v>289</v>
      </c>
      <c r="C561" s="58"/>
      <c r="D561" s="58"/>
      <c r="E561" s="39">
        <f t="shared" si="24"/>
        <v>0</v>
      </c>
      <c r="F561" s="51" t="s">
        <v>198</v>
      </c>
      <c r="G561" s="51"/>
      <c r="H561" s="51"/>
      <c r="I561" s="51"/>
    </row>
    <row r="562" spans="1:9" x14ac:dyDescent="0.25">
      <c r="A562" s="57">
        <v>45863</v>
      </c>
      <c r="B562" s="51" t="s">
        <v>289</v>
      </c>
      <c r="C562" s="58"/>
      <c r="D562" s="58"/>
      <c r="E562" s="39">
        <f t="shared" si="24"/>
        <v>0</v>
      </c>
      <c r="F562" s="51" t="s">
        <v>198</v>
      </c>
      <c r="G562" s="51"/>
      <c r="H562" s="51"/>
      <c r="I562" s="51"/>
    </row>
    <row r="563" spans="1:9" x14ac:dyDescent="0.25">
      <c r="A563" s="57">
        <v>45863</v>
      </c>
      <c r="B563" s="51" t="s">
        <v>289</v>
      </c>
      <c r="C563" s="58"/>
      <c r="D563" s="58"/>
      <c r="E563" s="39">
        <f t="shared" si="24"/>
        <v>0</v>
      </c>
      <c r="F563" s="51" t="s">
        <v>198</v>
      </c>
      <c r="G563" s="51"/>
      <c r="H563" s="51"/>
      <c r="I563" s="51"/>
    </row>
    <row r="564" spans="1:9" x14ac:dyDescent="0.25">
      <c r="A564" s="57">
        <v>45863</v>
      </c>
      <c r="B564" s="51" t="s">
        <v>289</v>
      </c>
      <c r="C564" s="58"/>
      <c r="D564" s="58"/>
      <c r="E564" s="39">
        <f t="shared" si="24"/>
        <v>0</v>
      </c>
      <c r="F564" s="51" t="s">
        <v>198</v>
      </c>
      <c r="G564" s="51"/>
      <c r="H564" s="63"/>
      <c r="I564" s="51"/>
    </row>
    <row r="565" spans="1:9" x14ac:dyDescent="0.25">
      <c r="A565" s="57">
        <v>45863</v>
      </c>
      <c r="B565" s="51" t="s">
        <v>289</v>
      </c>
      <c r="C565" s="58"/>
      <c r="D565" s="58"/>
      <c r="E565" s="39">
        <f t="shared" si="24"/>
        <v>0</v>
      </c>
      <c r="F565" s="51" t="s">
        <v>198</v>
      </c>
      <c r="G565" s="51"/>
      <c r="H565" s="51"/>
      <c r="I565" s="51"/>
    </row>
    <row r="566" spans="1:9" x14ac:dyDescent="0.25">
      <c r="A566" s="57">
        <v>45863</v>
      </c>
      <c r="B566" s="51" t="s">
        <v>289</v>
      </c>
      <c r="C566" s="58"/>
      <c r="D566" s="58"/>
      <c r="E566" s="39">
        <f t="shared" si="24"/>
        <v>0</v>
      </c>
      <c r="F566" s="51" t="s">
        <v>198</v>
      </c>
      <c r="G566" s="51"/>
      <c r="H566" s="51"/>
      <c r="I566" s="51"/>
    </row>
    <row r="567" spans="1:9" x14ac:dyDescent="0.25">
      <c r="A567" s="35"/>
      <c r="B567" s="53"/>
      <c r="C567" s="35"/>
      <c r="D567" s="35"/>
      <c r="E567" s="35"/>
      <c r="F567" s="53"/>
      <c r="G567" s="35"/>
      <c r="H567" s="35"/>
      <c r="I567" s="35"/>
    </row>
    <row r="568" spans="1:9" x14ac:dyDescent="0.25">
      <c r="A568" s="19" t="s">
        <v>1</v>
      </c>
      <c r="B568" s="19" t="s">
        <v>2</v>
      </c>
      <c r="C568" s="54" t="s">
        <v>3</v>
      </c>
      <c r="D568" s="55"/>
      <c r="E568" s="19" t="s">
        <v>4</v>
      </c>
      <c r="F568" s="19" t="s">
        <v>5</v>
      </c>
      <c r="G568" s="19" t="s">
        <v>6</v>
      </c>
      <c r="H568" s="19" t="s">
        <v>7</v>
      </c>
      <c r="I568" s="19" t="s">
        <v>8</v>
      </c>
    </row>
    <row r="569" spans="1:9" x14ac:dyDescent="0.25">
      <c r="A569" s="56"/>
      <c r="B569" s="56"/>
      <c r="C569" s="51" t="s">
        <v>9</v>
      </c>
      <c r="D569" s="51" t="s">
        <v>10</v>
      </c>
      <c r="E569" s="56"/>
      <c r="F569" s="56"/>
      <c r="G569" s="56"/>
      <c r="H569" s="56"/>
      <c r="I569" s="56"/>
    </row>
    <row r="570" spans="1:9" x14ac:dyDescent="0.25">
      <c r="A570" s="57">
        <v>45864</v>
      </c>
      <c r="B570" s="51" t="s">
        <v>311</v>
      </c>
      <c r="C570" s="58"/>
      <c r="D570" s="58"/>
      <c r="E570" s="39">
        <f t="shared" ref="E570:E597" si="25">(D570-C570)*1440</f>
        <v>0</v>
      </c>
      <c r="F570" s="51" t="s">
        <v>198</v>
      </c>
      <c r="G570" s="51"/>
      <c r="H570" s="51"/>
      <c r="I570" s="51"/>
    </row>
    <row r="571" spans="1:9" x14ac:dyDescent="0.25">
      <c r="A571" s="57">
        <v>45864</v>
      </c>
      <c r="B571" s="51" t="s">
        <v>311</v>
      </c>
      <c r="C571" s="58"/>
      <c r="D571" s="58"/>
      <c r="E571" s="39">
        <f t="shared" si="25"/>
        <v>0</v>
      </c>
      <c r="F571" s="51" t="s">
        <v>198</v>
      </c>
      <c r="G571" s="51"/>
      <c r="H571" s="51"/>
      <c r="I571" s="51"/>
    </row>
    <row r="572" spans="1:9" x14ac:dyDescent="0.25">
      <c r="A572" s="57">
        <v>45864</v>
      </c>
      <c r="B572" s="51" t="s">
        <v>311</v>
      </c>
      <c r="C572" s="58"/>
      <c r="D572" s="58"/>
      <c r="E572" s="39">
        <f t="shared" si="25"/>
        <v>0</v>
      </c>
      <c r="F572" s="51" t="s">
        <v>198</v>
      </c>
      <c r="G572" s="51"/>
      <c r="H572" s="51"/>
      <c r="I572" s="51"/>
    </row>
    <row r="573" spans="1:9" x14ac:dyDescent="0.25">
      <c r="A573" s="57">
        <v>45864</v>
      </c>
      <c r="B573" s="51" t="s">
        <v>311</v>
      </c>
      <c r="C573" s="58"/>
      <c r="D573" s="58"/>
      <c r="E573" s="39">
        <f t="shared" si="25"/>
        <v>0</v>
      </c>
      <c r="F573" s="51" t="s">
        <v>198</v>
      </c>
      <c r="G573" s="51"/>
      <c r="H573" s="51"/>
      <c r="I573" s="51"/>
    </row>
    <row r="574" spans="1:9" x14ac:dyDescent="0.25">
      <c r="A574" s="57">
        <v>45864</v>
      </c>
      <c r="B574" s="51" t="s">
        <v>311</v>
      </c>
      <c r="C574" s="58"/>
      <c r="D574" s="58"/>
      <c r="E574" s="39">
        <f t="shared" si="25"/>
        <v>0</v>
      </c>
      <c r="F574" s="51" t="s">
        <v>198</v>
      </c>
      <c r="G574" s="51"/>
      <c r="H574" s="51"/>
      <c r="I574" s="51"/>
    </row>
    <row r="575" spans="1:9" x14ac:dyDescent="0.25">
      <c r="A575" s="57">
        <v>45864</v>
      </c>
      <c r="B575" s="51" t="s">
        <v>311</v>
      </c>
      <c r="C575" s="58"/>
      <c r="D575" s="58"/>
      <c r="E575" s="39">
        <f t="shared" si="25"/>
        <v>0</v>
      </c>
      <c r="F575" s="51" t="s">
        <v>198</v>
      </c>
      <c r="G575" s="51"/>
      <c r="H575" s="51"/>
      <c r="I575" s="51"/>
    </row>
    <row r="576" spans="1:9" x14ac:dyDescent="0.25">
      <c r="A576" s="57">
        <v>45864</v>
      </c>
      <c r="B576" s="51" t="s">
        <v>311</v>
      </c>
      <c r="C576" s="58"/>
      <c r="D576" s="58"/>
      <c r="E576" s="39">
        <f t="shared" si="25"/>
        <v>0</v>
      </c>
      <c r="F576" s="51" t="s">
        <v>198</v>
      </c>
      <c r="G576" s="51"/>
      <c r="H576" s="51"/>
      <c r="I576" s="51"/>
    </row>
    <row r="577" spans="1:9" x14ac:dyDescent="0.25">
      <c r="A577" s="57">
        <v>45864</v>
      </c>
      <c r="B577" s="51" t="s">
        <v>311</v>
      </c>
      <c r="C577" s="58"/>
      <c r="D577" s="58"/>
      <c r="E577" s="39">
        <f t="shared" si="25"/>
        <v>0</v>
      </c>
      <c r="F577" s="51" t="s">
        <v>198</v>
      </c>
      <c r="G577" s="51"/>
      <c r="H577" s="51"/>
      <c r="I577" s="51"/>
    </row>
    <row r="578" spans="1:9" x14ac:dyDescent="0.25">
      <c r="A578" s="57">
        <v>45864</v>
      </c>
      <c r="B578" s="51" t="s">
        <v>311</v>
      </c>
      <c r="C578" s="58"/>
      <c r="D578" s="58"/>
      <c r="E578" s="39">
        <f t="shared" si="25"/>
        <v>0</v>
      </c>
      <c r="F578" s="51" t="s">
        <v>198</v>
      </c>
      <c r="G578" s="51"/>
      <c r="H578" s="51"/>
      <c r="I578" s="51"/>
    </row>
    <row r="579" spans="1:9" x14ac:dyDescent="0.25">
      <c r="A579" s="57">
        <v>45864</v>
      </c>
      <c r="B579" s="51" t="s">
        <v>311</v>
      </c>
      <c r="C579" s="58"/>
      <c r="D579" s="58"/>
      <c r="E579" s="39">
        <f t="shared" si="25"/>
        <v>0</v>
      </c>
      <c r="F579" s="51" t="s">
        <v>198</v>
      </c>
      <c r="G579" s="51"/>
      <c r="H579" s="51"/>
      <c r="I579" s="51"/>
    </row>
    <row r="580" spans="1:9" x14ac:dyDescent="0.25">
      <c r="A580" s="57">
        <v>45864</v>
      </c>
      <c r="B580" s="51" t="s">
        <v>311</v>
      </c>
      <c r="C580" s="58"/>
      <c r="D580" s="58"/>
      <c r="E580" s="39">
        <f t="shared" si="25"/>
        <v>0</v>
      </c>
      <c r="F580" s="51" t="s">
        <v>198</v>
      </c>
      <c r="G580" s="51"/>
      <c r="H580" s="51"/>
      <c r="I580" s="51"/>
    </row>
    <row r="581" spans="1:9" x14ac:dyDescent="0.25">
      <c r="A581" s="57">
        <v>45864</v>
      </c>
      <c r="B581" s="51" t="s">
        <v>311</v>
      </c>
      <c r="C581" s="58"/>
      <c r="D581" s="58"/>
      <c r="E581" s="39">
        <f t="shared" si="25"/>
        <v>0</v>
      </c>
      <c r="F581" s="51" t="s">
        <v>198</v>
      </c>
      <c r="G581" s="51"/>
      <c r="H581" s="51"/>
      <c r="I581" s="51"/>
    </row>
    <row r="582" spans="1:9" x14ac:dyDescent="0.25">
      <c r="A582" s="57">
        <v>45864</v>
      </c>
      <c r="B582" s="51" t="s">
        <v>311</v>
      </c>
      <c r="C582" s="58"/>
      <c r="D582" s="58"/>
      <c r="E582" s="39">
        <f t="shared" si="25"/>
        <v>0</v>
      </c>
      <c r="F582" s="51" t="s">
        <v>198</v>
      </c>
      <c r="G582" s="51"/>
      <c r="H582" s="51"/>
      <c r="I582" s="51"/>
    </row>
    <row r="583" spans="1:9" x14ac:dyDescent="0.25">
      <c r="A583" s="57">
        <v>45864</v>
      </c>
      <c r="B583" s="51" t="s">
        <v>311</v>
      </c>
      <c r="C583" s="58"/>
      <c r="D583" s="58"/>
      <c r="E583" s="39">
        <f t="shared" si="25"/>
        <v>0</v>
      </c>
      <c r="F583" s="51" t="s">
        <v>198</v>
      </c>
      <c r="G583" s="51"/>
      <c r="H583" s="51"/>
      <c r="I583" s="51"/>
    </row>
    <row r="584" spans="1:9" x14ac:dyDescent="0.25">
      <c r="A584" s="57">
        <v>45864</v>
      </c>
      <c r="B584" s="51" t="s">
        <v>311</v>
      </c>
      <c r="C584" s="58"/>
      <c r="D584" s="58"/>
      <c r="E584" s="39">
        <f t="shared" si="25"/>
        <v>0</v>
      </c>
      <c r="F584" s="51" t="s">
        <v>198</v>
      </c>
      <c r="G584" s="51"/>
      <c r="H584" s="51"/>
      <c r="I584" s="51"/>
    </row>
    <row r="585" spans="1:9" x14ac:dyDescent="0.25">
      <c r="A585" s="57">
        <v>45864</v>
      </c>
      <c r="B585" s="51" t="s">
        <v>311</v>
      </c>
      <c r="C585" s="58"/>
      <c r="D585" s="58"/>
      <c r="E585" s="39">
        <f t="shared" si="25"/>
        <v>0</v>
      </c>
      <c r="F585" s="51" t="s">
        <v>198</v>
      </c>
      <c r="G585" s="51"/>
      <c r="H585" s="51"/>
      <c r="I585" s="51"/>
    </row>
    <row r="586" spans="1:9" x14ac:dyDescent="0.25">
      <c r="A586" s="57">
        <v>45864</v>
      </c>
      <c r="B586" s="51" t="s">
        <v>311</v>
      </c>
      <c r="C586" s="58"/>
      <c r="D586" s="58"/>
      <c r="E586" s="39">
        <f t="shared" si="25"/>
        <v>0</v>
      </c>
      <c r="F586" s="51" t="s">
        <v>198</v>
      </c>
      <c r="G586" s="51"/>
      <c r="H586" s="51"/>
      <c r="I586" s="51"/>
    </row>
    <row r="587" spans="1:9" x14ac:dyDescent="0.25">
      <c r="A587" s="57">
        <v>45864</v>
      </c>
      <c r="B587" s="51" t="s">
        <v>311</v>
      </c>
      <c r="C587" s="58"/>
      <c r="D587" s="58"/>
      <c r="E587" s="39">
        <f t="shared" si="25"/>
        <v>0</v>
      </c>
      <c r="F587" s="51" t="s">
        <v>198</v>
      </c>
      <c r="G587" s="51"/>
      <c r="H587" s="51"/>
      <c r="I587" s="51"/>
    </row>
    <row r="588" spans="1:9" x14ac:dyDescent="0.25">
      <c r="A588" s="57">
        <v>45864</v>
      </c>
      <c r="B588" s="51" t="s">
        <v>311</v>
      </c>
      <c r="C588" s="58"/>
      <c r="D588" s="58"/>
      <c r="E588" s="39">
        <f t="shared" si="25"/>
        <v>0</v>
      </c>
      <c r="F588" s="51" t="s">
        <v>198</v>
      </c>
      <c r="G588" s="71"/>
      <c r="H588" s="51"/>
      <c r="I588" s="51"/>
    </row>
    <row r="589" spans="1:9" x14ac:dyDescent="0.25">
      <c r="A589" s="57">
        <v>45864</v>
      </c>
      <c r="B589" s="51" t="s">
        <v>311</v>
      </c>
      <c r="C589" s="58"/>
      <c r="D589" s="58"/>
      <c r="E589" s="39">
        <f t="shared" si="25"/>
        <v>0</v>
      </c>
      <c r="F589" s="51" t="s">
        <v>198</v>
      </c>
      <c r="G589" s="51"/>
      <c r="H589" s="51"/>
      <c r="I589" s="51"/>
    </row>
    <row r="590" spans="1:9" x14ac:dyDescent="0.25">
      <c r="A590" s="57">
        <v>45864</v>
      </c>
      <c r="B590" s="51" t="s">
        <v>311</v>
      </c>
      <c r="C590" s="58"/>
      <c r="D590" s="58"/>
      <c r="E590" s="39">
        <f t="shared" si="25"/>
        <v>0</v>
      </c>
      <c r="F590" s="51" t="s">
        <v>198</v>
      </c>
      <c r="G590" s="51"/>
      <c r="H590" s="51"/>
      <c r="I590" s="51"/>
    </row>
    <row r="591" spans="1:9" x14ac:dyDescent="0.25">
      <c r="A591" s="57">
        <v>45864</v>
      </c>
      <c r="B591" s="51" t="s">
        <v>311</v>
      </c>
      <c r="C591" s="58"/>
      <c r="D591" s="58"/>
      <c r="E591" s="39">
        <f t="shared" si="25"/>
        <v>0</v>
      </c>
      <c r="F591" s="51" t="s">
        <v>198</v>
      </c>
      <c r="G591" s="51"/>
      <c r="H591" s="51"/>
      <c r="I591" s="51"/>
    </row>
    <row r="592" spans="1:9" x14ac:dyDescent="0.25">
      <c r="A592" s="57">
        <v>45864</v>
      </c>
      <c r="B592" s="51" t="s">
        <v>311</v>
      </c>
      <c r="C592" s="58"/>
      <c r="D592" s="58"/>
      <c r="E592" s="39">
        <f t="shared" si="25"/>
        <v>0</v>
      </c>
      <c r="F592" s="51" t="s">
        <v>198</v>
      </c>
      <c r="G592" s="51"/>
      <c r="H592" s="51"/>
      <c r="I592" s="51"/>
    </row>
    <row r="593" spans="1:9" x14ac:dyDescent="0.25">
      <c r="A593" s="57">
        <v>45864</v>
      </c>
      <c r="B593" s="51" t="s">
        <v>311</v>
      </c>
      <c r="C593" s="58"/>
      <c r="D593" s="58"/>
      <c r="E593" s="39">
        <f t="shared" si="25"/>
        <v>0</v>
      </c>
      <c r="F593" s="51" t="s">
        <v>198</v>
      </c>
      <c r="G593" s="51"/>
      <c r="H593" s="51"/>
      <c r="I593" s="51"/>
    </row>
    <row r="594" spans="1:9" x14ac:dyDescent="0.25">
      <c r="A594" s="57">
        <v>45864</v>
      </c>
      <c r="B594" s="51" t="s">
        <v>311</v>
      </c>
      <c r="C594" s="58"/>
      <c r="D594" s="58"/>
      <c r="E594" s="39">
        <f t="shared" si="25"/>
        <v>0</v>
      </c>
      <c r="F594" s="51" t="s">
        <v>198</v>
      </c>
      <c r="G594" s="51"/>
      <c r="H594" s="51"/>
      <c r="I594" s="51"/>
    </row>
    <row r="595" spans="1:9" x14ac:dyDescent="0.25">
      <c r="A595" s="57">
        <v>45864</v>
      </c>
      <c r="B595" s="51" t="s">
        <v>311</v>
      </c>
      <c r="C595" s="58"/>
      <c r="D595" s="58"/>
      <c r="E595" s="39">
        <f t="shared" si="25"/>
        <v>0</v>
      </c>
      <c r="F595" s="51" t="s">
        <v>198</v>
      </c>
      <c r="G595" s="51"/>
      <c r="H595" s="63"/>
      <c r="I595" s="51"/>
    </row>
    <row r="596" spans="1:9" x14ac:dyDescent="0.25">
      <c r="A596" s="57">
        <v>45864</v>
      </c>
      <c r="B596" s="51" t="s">
        <v>311</v>
      </c>
      <c r="C596" s="58"/>
      <c r="D596" s="58"/>
      <c r="E596" s="39">
        <f t="shared" si="25"/>
        <v>0</v>
      </c>
      <c r="F596" s="51" t="s">
        <v>198</v>
      </c>
      <c r="G596" s="51"/>
      <c r="H596" s="51"/>
      <c r="I596" s="51"/>
    </row>
    <row r="597" spans="1:9" x14ac:dyDescent="0.25">
      <c r="A597" s="57">
        <v>45864</v>
      </c>
      <c r="B597" s="51" t="s">
        <v>311</v>
      </c>
      <c r="C597" s="58"/>
      <c r="D597" s="58"/>
      <c r="E597" s="39">
        <f t="shared" si="25"/>
        <v>0</v>
      </c>
      <c r="F597" s="51" t="s">
        <v>198</v>
      </c>
      <c r="G597" s="51"/>
      <c r="H597" s="51"/>
      <c r="I597" s="51"/>
    </row>
    <row r="598" spans="1:9" s="67" customFormat="1" ht="35.4" x14ac:dyDescent="0.6">
      <c r="A598" s="64" t="s">
        <v>329</v>
      </c>
      <c r="B598" s="65"/>
      <c r="C598" s="65"/>
      <c r="D598" s="65"/>
      <c r="E598" s="65"/>
      <c r="F598" s="65"/>
      <c r="G598" s="65"/>
      <c r="H598" s="65"/>
      <c r="I598" s="66"/>
    </row>
    <row r="599" spans="1:9" x14ac:dyDescent="0.25">
      <c r="A599" s="35"/>
      <c r="B599" s="53"/>
      <c r="C599" s="35"/>
      <c r="D599" s="35"/>
      <c r="E599" s="35"/>
      <c r="F599" s="53"/>
      <c r="G599" s="35"/>
      <c r="H599" s="35"/>
      <c r="I599" s="35"/>
    </row>
    <row r="600" spans="1:9" x14ac:dyDescent="0.25">
      <c r="A600" s="19" t="s">
        <v>1</v>
      </c>
      <c r="B600" s="19" t="s">
        <v>2</v>
      </c>
      <c r="C600" s="54" t="s">
        <v>3</v>
      </c>
      <c r="D600" s="55"/>
      <c r="E600" s="19" t="s">
        <v>4</v>
      </c>
      <c r="F600" s="19" t="s">
        <v>5</v>
      </c>
      <c r="G600" s="19" t="s">
        <v>6</v>
      </c>
      <c r="H600" s="19" t="s">
        <v>7</v>
      </c>
      <c r="I600" s="19" t="s">
        <v>8</v>
      </c>
    </row>
    <row r="601" spans="1:9" x14ac:dyDescent="0.25">
      <c r="A601" s="56"/>
      <c r="B601" s="56"/>
      <c r="C601" s="51" t="s">
        <v>9</v>
      </c>
      <c r="D601" s="51" t="s">
        <v>10</v>
      </c>
      <c r="E601" s="56"/>
      <c r="F601" s="56"/>
      <c r="G601" s="56"/>
      <c r="H601" s="56"/>
      <c r="I601" s="56"/>
    </row>
    <row r="602" spans="1:9" x14ac:dyDescent="0.25">
      <c r="A602" s="57">
        <v>45866</v>
      </c>
      <c r="B602" s="51" t="s">
        <v>12</v>
      </c>
      <c r="C602" s="58">
        <v>0.41666666666666669</v>
      </c>
      <c r="D602" s="58">
        <v>0.4236111111111111</v>
      </c>
      <c r="E602" s="39">
        <f t="shared" ref="E602:E665" si="26">(D602-C602)*1440</f>
        <v>9.9999999999999645</v>
      </c>
      <c r="F602" s="51" t="s">
        <v>198</v>
      </c>
      <c r="G602" s="51" t="s">
        <v>397</v>
      </c>
      <c r="H602" s="51"/>
      <c r="I602" s="51"/>
    </row>
    <row r="603" spans="1:9" x14ac:dyDescent="0.25">
      <c r="A603" s="57">
        <v>45866</v>
      </c>
      <c r="B603" s="51" t="s">
        <v>12</v>
      </c>
      <c r="C603" s="58">
        <v>0.4236111111111111</v>
      </c>
      <c r="D603" s="58">
        <v>0.43402777777777779</v>
      </c>
      <c r="E603" s="39">
        <f t="shared" si="26"/>
        <v>15.000000000000027</v>
      </c>
      <c r="F603" s="51" t="s">
        <v>198</v>
      </c>
      <c r="G603" s="51" t="s">
        <v>383</v>
      </c>
      <c r="H603" s="51"/>
      <c r="I603" s="51"/>
    </row>
    <row r="604" spans="1:9" x14ac:dyDescent="0.25">
      <c r="A604" s="57">
        <v>45866</v>
      </c>
      <c r="B604" s="51" t="s">
        <v>12</v>
      </c>
      <c r="C604" s="58">
        <v>0.43402777777777779</v>
      </c>
      <c r="D604" s="58">
        <v>0.44097222222222221</v>
      </c>
      <c r="E604" s="39">
        <f t="shared" si="26"/>
        <v>9.9999999999999645</v>
      </c>
      <c r="F604" s="51" t="s">
        <v>198</v>
      </c>
      <c r="G604" s="51" t="s">
        <v>575</v>
      </c>
      <c r="H604" s="51"/>
      <c r="I604" s="51"/>
    </row>
    <row r="605" spans="1:9" x14ac:dyDescent="0.25">
      <c r="A605" s="57">
        <v>45866</v>
      </c>
      <c r="B605" s="51" t="s">
        <v>12</v>
      </c>
      <c r="C605" s="58">
        <v>0.44097222222222221</v>
      </c>
      <c r="D605" s="58">
        <v>0.4548611111111111</v>
      </c>
      <c r="E605" s="39">
        <f t="shared" si="26"/>
        <v>20.000000000000007</v>
      </c>
      <c r="F605" s="51" t="s">
        <v>198</v>
      </c>
      <c r="G605" s="51" t="s">
        <v>576</v>
      </c>
      <c r="H605" s="51"/>
      <c r="I605" s="51"/>
    </row>
    <row r="606" spans="1:9" x14ac:dyDescent="0.25">
      <c r="A606" s="57">
        <v>45866</v>
      </c>
      <c r="B606" s="51" t="s">
        <v>12</v>
      </c>
      <c r="C606" s="58">
        <v>0.4548611111111111</v>
      </c>
      <c r="D606" s="58">
        <v>0.48958333333333331</v>
      </c>
      <c r="E606" s="39">
        <f t="shared" si="26"/>
        <v>49.999999999999986</v>
      </c>
      <c r="F606" s="51" t="s">
        <v>198</v>
      </c>
      <c r="G606" s="51" t="s">
        <v>577</v>
      </c>
      <c r="H606" s="51"/>
      <c r="I606" s="51"/>
    </row>
    <row r="607" spans="1:9" x14ac:dyDescent="0.25">
      <c r="A607" s="57">
        <v>45866</v>
      </c>
      <c r="B607" s="51" t="s">
        <v>12</v>
      </c>
      <c r="C607" s="58">
        <v>0.48958333333333331</v>
      </c>
      <c r="D607" s="58">
        <v>0.5</v>
      </c>
      <c r="E607" s="39">
        <f t="shared" si="26"/>
        <v>15.000000000000027</v>
      </c>
      <c r="F607" s="51" t="s">
        <v>198</v>
      </c>
      <c r="G607" s="51" t="s">
        <v>578</v>
      </c>
      <c r="H607" s="51"/>
      <c r="I607" s="51"/>
    </row>
    <row r="608" spans="1:9" x14ac:dyDescent="0.25">
      <c r="A608" s="57">
        <v>45866</v>
      </c>
      <c r="B608" s="51" t="s">
        <v>12</v>
      </c>
      <c r="C608" s="58">
        <v>0.5</v>
      </c>
      <c r="D608" s="58">
        <v>0.54166666666666663</v>
      </c>
      <c r="E608" s="39">
        <f t="shared" si="26"/>
        <v>59.999999999999943</v>
      </c>
      <c r="F608" s="51" t="s">
        <v>198</v>
      </c>
      <c r="G608" s="51" t="s">
        <v>579</v>
      </c>
      <c r="H608" s="51"/>
      <c r="I608" s="51"/>
    </row>
    <row r="609" spans="1:9" x14ac:dyDescent="0.25">
      <c r="A609" s="57">
        <v>45866</v>
      </c>
      <c r="B609" s="51" t="s">
        <v>12</v>
      </c>
      <c r="C609" s="58">
        <v>0.54166666666666663</v>
      </c>
      <c r="D609" s="58">
        <v>0.55555555555555558</v>
      </c>
      <c r="E609" s="39">
        <f t="shared" si="26"/>
        <v>20.000000000000089</v>
      </c>
      <c r="F609" s="51" t="s">
        <v>198</v>
      </c>
      <c r="G609" s="51" t="s">
        <v>580</v>
      </c>
      <c r="H609" s="51"/>
      <c r="I609" s="51"/>
    </row>
    <row r="610" spans="1:9" x14ac:dyDescent="0.25">
      <c r="A610" s="57">
        <v>45866</v>
      </c>
      <c r="B610" s="51" t="s">
        <v>12</v>
      </c>
      <c r="C610" s="58">
        <v>0.55555555555555558</v>
      </c>
      <c r="D610" s="58">
        <v>0.58680555555555558</v>
      </c>
      <c r="E610" s="39">
        <f t="shared" si="26"/>
        <v>45</v>
      </c>
      <c r="F610" s="51" t="s">
        <v>198</v>
      </c>
      <c r="G610" s="51" t="s">
        <v>581</v>
      </c>
      <c r="H610" s="51"/>
      <c r="I610" s="51"/>
    </row>
    <row r="611" spans="1:9" x14ac:dyDescent="0.25">
      <c r="A611" s="57">
        <v>45866</v>
      </c>
      <c r="B611" s="51" t="s">
        <v>12</v>
      </c>
      <c r="C611" s="58">
        <v>0.58680555555555558</v>
      </c>
      <c r="D611" s="58">
        <v>0.61805555555555558</v>
      </c>
      <c r="E611" s="39">
        <f t="shared" si="26"/>
        <v>45</v>
      </c>
      <c r="F611" s="51" t="s">
        <v>198</v>
      </c>
      <c r="G611" s="51" t="s">
        <v>582</v>
      </c>
      <c r="H611" s="51"/>
      <c r="I611" s="51"/>
    </row>
    <row r="612" spans="1:9" x14ac:dyDescent="0.25">
      <c r="A612" s="57">
        <v>45866</v>
      </c>
      <c r="B612" s="51" t="s">
        <v>12</v>
      </c>
      <c r="C612" s="58">
        <v>0.61805555555555558</v>
      </c>
      <c r="D612" s="58">
        <v>0.64930555555555558</v>
      </c>
      <c r="E612" s="39">
        <f t="shared" si="26"/>
        <v>45</v>
      </c>
      <c r="F612" s="51" t="s">
        <v>198</v>
      </c>
      <c r="G612" s="51" t="s">
        <v>583</v>
      </c>
      <c r="H612" s="51"/>
      <c r="I612" s="51"/>
    </row>
    <row r="613" spans="1:9" x14ac:dyDescent="0.25">
      <c r="A613" s="57">
        <v>45866</v>
      </c>
      <c r="B613" s="51" t="s">
        <v>12</v>
      </c>
      <c r="C613" s="58">
        <v>0.64930555555555558</v>
      </c>
      <c r="D613" s="58">
        <v>0.68055555555555558</v>
      </c>
      <c r="E613" s="39">
        <f t="shared" si="26"/>
        <v>45</v>
      </c>
      <c r="F613" s="51" t="s">
        <v>198</v>
      </c>
      <c r="G613" s="51" t="s">
        <v>584</v>
      </c>
      <c r="H613" s="51"/>
      <c r="I613" s="51"/>
    </row>
    <row r="614" spans="1:9" x14ac:dyDescent="0.25">
      <c r="A614" s="57">
        <v>45866</v>
      </c>
      <c r="B614" s="51" t="s">
        <v>12</v>
      </c>
      <c r="C614" s="58">
        <v>0.68055555555555558</v>
      </c>
      <c r="D614" s="58">
        <v>0.71527777777777779</v>
      </c>
      <c r="E614" s="39">
        <f t="shared" si="26"/>
        <v>49.999999999999986</v>
      </c>
      <c r="F614" s="51" t="s">
        <v>198</v>
      </c>
      <c r="G614" s="71" t="s">
        <v>585</v>
      </c>
      <c r="H614" s="51"/>
      <c r="I614" s="51"/>
    </row>
    <row r="615" spans="1:9" x14ac:dyDescent="0.25">
      <c r="A615" s="57">
        <v>45866</v>
      </c>
      <c r="B615" s="51" t="s">
        <v>12</v>
      </c>
      <c r="C615" s="58">
        <v>0.71527777777777779</v>
      </c>
      <c r="D615" s="58">
        <v>0.72569444444444442</v>
      </c>
      <c r="E615" s="39">
        <f t="shared" si="26"/>
        <v>14.999999999999947</v>
      </c>
      <c r="F615" s="51" t="s">
        <v>198</v>
      </c>
      <c r="G615" s="51" t="s">
        <v>586</v>
      </c>
      <c r="H615" s="51"/>
      <c r="I615" s="51"/>
    </row>
    <row r="616" spans="1:9" x14ac:dyDescent="0.25">
      <c r="A616" s="57">
        <v>45866</v>
      </c>
      <c r="B616" s="51" t="s">
        <v>12</v>
      </c>
      <c r="C616" s="58">
        <v>0.72569444444444442</v>
      </c>
      <c r="D616" s="58">
        <v>0.75347222222222221</v>
      </c>
      <c r="E616" s="39">
        <f t="shared" si="26"/>
        <v>40.000000000000014</v>
      </c>
      <c r="F616" s="51" t="s">
        <v>198</v>
      </c>
      <c r="G616" s="51" t="s">
        <v>587</v>
      </c>
      <c r="H616" s="51"/>
      <c r="I616" s="51"/>
    </row>
    <row r="617" spans="1:9" x14ac:dyDescent="0.25">
      <c r="A617" s="57">
        <v>45866</v>
      </c>
      <c r="B617" s="51" t="s">
        <v>12</v>
      </c>
      <c r="C617" s="58">
        <v>0.75347222222222221</v>
      </c>
      <c r="D617" s="58">
        <v>0.76041666666666663</v>
      </c>
      <c r="E617" s="39">
        <f t="shared" si="26"/>
        <v>9.9999999999999645</v>
      </c>
      <c r="F617" s="51" t="s">
        <v>198</v>
      </c>
      <c r="G617" s="51" t="s">
        <v>588</v>
      </c>
      <c r="H617" s="51"/>
      <c r="I617" s="51"/>
    </row>
    <row r="618" spans="1:9" x14ac:dyDescent="0.25">
      <c r="A618" s="57">
        <v>45866</v>
      </c>
      <c r="B618" s="51" t="s">
        <v>12</v>
      </c>
      <c r="C618" s="58">
        <v>0.76041666666666663</v>
      </c>
      <c r="D618" s="58">
        <v>0.79513888888888884</v>
      </c>
      <c r="E618" s="39">
        <f t="shared" si="26"/>
        <v>49.999999999999986</v>
      </c>
      <c r="F618" s="51" t="s">
        <v>198</v>
      </c>
      <c r="G618" s="51" t="s">
        <v>577</v>
      </c>
      <c r="H618" s="51"/>
      <c r="I618" s="51"/>
    </row>
    <row r="619" spans="1:9" x14ac:dyDescent="0.25">
      <c r="A619" s="57">
        <v>45866</v>
      </c>
      <c r="B619" s="51" t="s">
        <v>12</v>
      </c>
      <c r="C619" s="58">
        <v>0.79513888888888884</v>
      </c>
      <c r="D619" s="58">
        <v>0.80208333333333337</v>
      </c>
      <c r="E619" s="39">
        <f t="shared" si="26"/>
        <v>10.000000000000124</v>
      </c>
      <c r="F619" s="51" t="s">
        <v>198</v>
      </c>
      <c r="G619" s="71" t="s">
        <v>589</v>
      </c>
      <c r="H619" s="51"/>
      <c r="I619" s="51"/>
    </row>
    <row r="620" spans="1:9" x14ac:dyDescent="0.25">
      <c r="A620" s="35"/>
      <c r="B620" s="53"/>
      <c r="C620" s="35"/>
      <c r="D620" s="35"/>
      <c r="E620" s="35"/>
      <c r="F620" s="53"/>
      <c r="G620" s="35"/>
      <c r="H620" s="35"/>
      <c r="I620" s="35"/>
    </row>
    <row r="621" spans="1:9" x14ac:dyDescent="0.25">
      <c r="A621" s="19" t="s">
        <v>1</v>
      </c>
      <c r="B621" s="19" t="s">
        <v>2</v>
      </c>
      <c r="C621" s="69" t="s">
        <v>3</v>
      </c>
      <c r="D621" s="55"/>
      <c r="E621" s="22" t="s">
        <v>4</v>
      </c>
      <c r="F621" s="19" t="s">
        <v>5</v>
      </c>
      <c r="G621" s="19" t="s">
        <v>6</v>
      </c>
      <c r="H621" s="19" t="s">
        <v>7</v>
      </c>
      <c r="I621" s="19" t="s">
        <v>8</v>
      </c>
    </row>
    <row r="622" spans="1:9" x14ac:dyDescent="0.25">
      <c r="A622" s="56"/>
      <c r="B622" s="56"/>
      <c r="C622" s="51" t="s">
        <v>9</v>
      </c>
      <c r="D622" s="51" t="s">
        <v>10</v>
      </c>
      <c r="E622" s="70"/>
      <c r="F622" s="56"/>
      <c r="G622" s="56"/>
      <c r="H622" s="56"/>
      <c r="I622" s="56"/>
    </row>
    <row r="623" spans="1:9" x14ac:dyDescent="0.25">
      <c r="A623" s="57">
        <v>45867</v>
      </c>
      <c r="B623" s="51" t="s">
        <v>59</v>
      </c>
      <c r="C623" s="58">
        <v>0.4236111111111111</v>
      </c>
      <c r="D623" s="58">
        <v>0.43055555555555558</v>
      </c>
      <c r="E623" s="39">
        <f t="shared" ref="E623:E635" si="27">(D623-C623)*1440</f>
        <v>10.000000000000044</v>
      </c>
      <c r="F623" s="51" t="s">
        <v>198</v>
      </c>
      <c r="G623" s="51" t="s">
        <v>397</v>
      </c>
      <c r="H623" s="63"/>
      <c r="I623" s="51"/>
    </row>
    <row r="624" spans="1:9" x14ac:dyDescent="0.25">
      <c r="A624" s="57">
        <v>45867</v>
      </c>
      <c r="B624" s="51" t="s">
        <v>59</v>
      </c>
      <c r="C624" s="58">
        <v>0.43055555555555558</v>
      </c>
      <c r="D624" s="58">
        <v>0.44097222222222221</v>
      </c>
      <c r="E624" s="39">
        <f t="shared" si="27"/>
        <v>14.999999999999947</v>
      </c>
      <c r="F624" s="51" t="s">
        <v>198</v>
      </c>
      <c r="G624" s="51" t="s">
        <v>218</v>
      </c>
      <c r="H624" s="51"/>
      <c r="I624" s="51"/>
    </row>
    <row r="625" spans="1:9" x14ac:dyDescent="0.25">
      <c r="A625" s="57">
        <v>45867</v>
      </c>
      <c r="B625" s="51" t="s">
        <v>59</v>
      </c>
      <c r="C625" s="58">
        <v>0.44097222222222221</v>
      </c>
      <c r="D625" s="58">
        <v>0.44791666666666669</v>
      </c>
      <c r="E625" s="39">
        <f t="shared" si="27"/>
        <v>10.000000000000044</v>
      </c>
      <c r="F625" s="51" t="s">
        <v>198</v>
      </c>
      <c r="G625" s="51" t="s">
        <v>590</v>
      </c>
      <c r="H625" s="51"/>
      <c r="I625" s="51"/>
    </row>
    <row r="626" spans="1:9" x14ac:dyDescent="0.25">
      <c r="A626" s="57">
        <v>45867</v>
      </c>
      <c r="B626" s="51" t="s">
        <v>59</v>
      </c>
      <c r="C626" s="58">
        <v>0.44791666666666669</v>
      </c>
      <c r="D626" s="58">
        <v>0.45833333333333331</v>
      </c>
      <c r="E626" s="39">
        <f t="shared" si="27"/>
        <v>14.999999999999947</v>
      </c>
      <c r="F626" s="51" t="s">
        <v>198</v>
      </c>
      <c r="G626" s="51" t="s">
        <v>591</v>
      </c>
      <c r="H626" s="63"/>
      <c r="I626" s="51"/>
    </row>
    <row r="627" spans="1:9" x14ac:dyDescent="0.25">
      <c r="A627" s="57">
        <v>45867</v>
      </c>
      <c r="B627" s="51" t="s">
        <v>59</v>
      </c>
      <c r="C627" s="58">
        <v>0.45833333333333331</v>
      </c>
      <c r="D627" s="58">
        <v>0.46527777777777779</v>
      </c>
      <c r="E627" s="39">
        <f t="shared" si="27"/>
        <v>10.000000000000044</v>
      </c>
      <c r="F627" s="51" t="s">
        <v>198</v>
      </c>
      <c r="G627" s="51" t="s">
        <v>336</v>
      </c>
      <c r="H627" s="51"/>
      <c r="I627" s="51"/>
    </row>
    <row r="628" spans="1:9" x14ac:dyDescent="0.25">
      <c r="A628" s="57">
        <v>45867</v>
      </c>
      <c r="B628" s="51" t="s">
        <v>59</v>
      </c>
      <c r="C628" s="58">
        <v>0.46527777777777779</v>
      </c>
      <c r="D628" s="58">
        <v>0.47222222222222221</v>
      </c>
      <c r="E628" s="39">
        <f t="shared" si="27"/>
        <v>9.9999999999999645</v>
      </c>
      <c r="F628" s="51" t="s">
        <v>198</v>
      </c>
      <c r="G628" s="51" t="s">
        <v>592</v>
      </c>
      <c r="H628" s="51"/>
      <c r="I628" s="51"/>
    </row>
    <row r="629" spans="1:9" x14ac:dyDescent="0.25">
      <c r="A629" s="57">
        <v>45867</v>
      </c>
      <c r="B629" s="51" t="s">
        <v>59</v>
      </c>
      <c r="C629" s="58">
        <v>0.47222222222222221</v>
      </c>
      <c r="D629" s="58">
        <v>0.4826388888888889</v>
      </c>
      <c r="E629" s="39">
        <f t="shared" si="27"/>
        <v>15.000000000000027</v>
      </c>
      <c r="F629" s="51" t="s">
        <v>198</v>
      </c>
      <c r="G629" s="51" t="s">
        <v>593</v>
      </c>
      <c r="H629" s="51"/>
      <c r="I629" s="51"/>
    </row>
    <row r="630" spans="1:9" x14ac:dyDescent="0.25">
      <c r="A630" s="57">
        <v>45867</v>
      </c>
      <c r="B630" s="51" t="s">
        <v>59</v>
      </c>
      <c r="C630" s="58">
        <v>0.4826388888888889</v>
      </c>
      <c r="D630" s="58">
        <v>0.49652777777777779</v>
      </c>
      <c r="E630" s="39">
        <f t="shared" si="27"/>
        <v>20.000000000000007</v>
      </c>
      <c r="F630" s="51" t="s">
        <v>198</v>
      </c>
      <c r="G630" s="51" t="s">
        <v>594</v>
      </c>
      <c r="H630" s="63"/>
      <c r="I630" s="51"/>
    </row>
    <row r="631" spans="1:9" x14ac:dyDescent="0.25">
      <c r="A631" s="57">
        <v>45867</v>
      </c>
      <c r="B631" s="51" t="s">
        <v>59</v>
      </c>
      <c r="C631" s="58">
        <v>0.49652777777777779</v>
      </c>
      <c r="D631" s="58">
        <v>0.50347222222222221</v>
      </c>
      <c r="E631" s="39">
        <f t="shared" si="27"/>
        <v>9.9999999999999645</v>
      </c>
      <c r="F631" s="51" t="s">
        <v>198</v>
      </c>
      <c r="G631" s="51" t="s">
        <v>595</v>
      </c>
      <c r="H631" s="51"/>
      <c r="I631" s="51"/>
    </row>
    <row r="632" spans="1:9" x14ac:dyDescent="0.25">
      <c r="A632" s="57">
        <v>45867</v>
      </c>
      <c r="B632" s="51" t="s">
        <v>59</v>
      </c>
      <c r="C632" s="58">
        <v>0.50347222222222221</v>
      </c>
      <c r="D632" s="58">
        <v>0.51388888888888884</v>
      </c>
      <c r="E632" s="39">
        <f t="shared" si="27"/>
        <v>14.999999999999947</v>
      </c>
      <c r="F632" s="51" t="s">
        <v>198</v>
      </c>
      <c r="G632" s="51" t="s">
        <v>225</v>
      </c>
      <c r="H632" s="51"/>
      <c r="I632" s="51"/>
    </row>
    <row r="633" spans="1:9" x14ac:dyDescent="0.25">
      <c r="A633" s="57">
        <v>45867</v>
      </c>
      <c r="B633" s="51" t="s">
        <v>59</v>
      </c>
      <c r="C633" s="58">
        <v>0.51388888888888884</v>
      </c>
      <c r="D633" s="58">
        <v>0.52430555555555558</v>
      </c>
      <c r="E633" s="39">
        <f t="shared" si="27"/>
        <v>15.000000000000107</v>
      </c>
      <c r="F633" s="51" t="s">
        <v>198</v>
      </c>
      <c r="G633" s="51" t="s">
        <v>596</v>
      </c>
      <c r="H633" s="63"/>
      <c r="I633" s="51"/>
    </row>
    <row r="634" spans="1:9" x14ac:dyDescent="0.25">
      <c r="A634" s="57">
        <v>45867</v>
      </c>
      <c r="B634" s="51" t="s">
        <v>59</v>
      </c>
      <c r="C634" s="58">
        <v>0.52430555555555558</v>
      </c>
      <c r="D634" s="58">
        <v>0.55208333333333337</v>
      </c>
      <c r="E634" s="39">
        <f t="shared" si="27"/>
        <v>40.000000000000014</v>
      </c>
      <c r="F634" s="51" t="s">
        <v>198</v>
      </c>
      <c r="G634" s="51" t="s">
        <v>597</v>
      </c>
      <c r="H634" s="51"/>
      <c r="I634" s="51"/>
    </row>
    <row r="635" spans="1:9" x14ac:dyDescent="0.25">
      <c r="A635" s="57">
        <v>45867</v>
      </c>
      <c r="B635" s="51" t="s">
        <v>59</v>
      </c>
      <c r="C635" s="58">
        <v>0.55208333333333337</v>
      </c>
      <c r="D635" s="58">
        <v>0.56597222222222221</v>
      </c>
      <c r="E635" s="39">
        <f t="shared" si="27"/>
        <v>19.999999999999929</v>
      </c>
      <c r="F635" s="51" t="s">
        <v>198</v>
      </c>
      <c r="G635" s="51" t="s">
        <v>528</v>
      </c>
      <c r="H635" s="51"/>
      <c r="I635" s="51"/>
    </row>
    <row r="636" spans="1:9" x14ac:dyDescent="0.25">
      <c r="A636" s="57">
        <v>45867</v>
      </c>
      <c r="B636" s="51" t="s">
        <v>59</v>
      </c>
      <c r="C636" s="58">
        <v>0.56597222222222221</v>
      </c>
      <c r="D636" s="58">
        <v>0.57638888888888884</v>
      </c>
      <c r="E636" s="39">
        <f t="shared" si="26"/>
        <v>14.999999999999947</v>
      </c>
      <c r="F636" s="51" t="s">
        <v>198</v>
      </c>
      <c r="G636" s="51" t="s">
        <v>593</v>
      </c>
      <c r="H636" s="51"/>
      <c r="I636" s="51"/>
    </row>
    <row r="637" spans="1:9" x14ac:dyDescent="0.25">
      <c r="A637" s="57">
        <v>45867</v>
      </c>
      <c r="B637" s="51" t="s">
        <v>59</v>
      </c>
      <c r="C637" s="58">
        <v>0.57638888888888884</v>
      </c>
      <c r="D637" s="58">
        <v>0.59027777777777779</v>
      </c>
      <c r="E637" s="39">
        <f t="shared" si="26"/>
        <v>20.000000000000089</v>
      </c>
      <c r="F637" s="51" t="s">
        <v>198</v>
      </c>
      <c r="G637" s="51" t="s">
        <v>242</v>
      </c>
      <c r="H637" s="51"/>
      <c r="I637" s="51"/>
    </row>
    <row r="638" spans="1:9" x14ac:dyDescent="0.25">
      <c r="A638" s="57">
        <v>45867</v>
      </c>
      <c r="B638" s="51" t="s">
        <v>59</v>
      </c>
      <c r="C638" s="58">
        <v>0.59027777777777779</v>
      </c>
      <c r="D638" s="58">
        <v>0.59722222222222221</v>
      </c>
      <c r="E638" s="39">
        <f t="shared" si="26"/>
        <v>9.9999999999999645</v>
      </c>
      <c r="F638" s="51" t="s">
        <v>198</v>
      </c>
      <c r="G638" s="51" t="s">
        <v>598</v>
      </c>
      <c r="H638" s="51"/>
      <c r="I638" s="51"/>
    </row>
    <row r="639" spans="1:9" x14ac:dyDescent="0.25">
      <c r="A639" s="57">
        <v>45867</v>
      </c>
      <c r="B639" s="51" t="s">
        <v>59</v>
      </c>
      <c r="C639" s="58">
        <v>0.59722222222222221</v>
      </c>
      <c r="D639" s="58">
        <v>0.60763888888888884</v>
      </c>
      <c r="E639" s="39">
        <f t="shared" si="26"/>
        <v>14.999999999999947</v>
      </c>
      <c r="F639" s="51" t="s">
        <v>198</v>
      </c>
      <c r="G639" s="51" t="s">
        <v>599</v>
      </c>
      <c r="H639" s="51"/>
      <c r="I639" s="51"/>
    </row>
    <row r="640" spans="1:9" x14ac:dyDescent="0.25">
      <c r="A640" s="57">
        <v>45867</v>
      </c>
      <c r="B640" s="51" t="s">
        <v>59</v>
      </c>
      <c r="C640" s="58">
        <v>0.60763888888888884</v>
      </c>
      <c r="D640" s="58">
        <v>0.61805555555555558</v>
      </c>
      <c r="E640" s="39">
        <f t="shared" si="26"/>
        <v>15.000000000000107</v>
      </c>
      <c r="F640" s="51" t="s">
        <v>198</v>
      </c>
      <c r="G640" s="51" t="s">
        <v>596</v>
      </c>
      <c r="H640" s="51"/>
      <c r="I640" s="51"/>
    </row>
    <row r="641" spans="1:9" x14ac:dyDescent="0.25">
      <c r="A641" s="57">
        <v>45867</v>
      </c>
      <c r="B641" s="51" t="s">
        <v>59</v>
      </c>
      <c r="C641" s="58">
        <v>0.61805555555555558</v>
      </c>
      <c r="D641" s="58">
        <v>0.64583333333333337</v>
      </c>
      <c r="E641" s="39">
        <f t="shared" si="26"/>
        <v>40.000000000000014</v>
      </c>
      <c r="F641" s="51" t="s">
        <v>198</v>
      </c>
      <c r="G641" s="51" t="s">
        <v>339</v>
      </c>
      <c r="H641" s="63"/>
      <c r="I641" s="51"/>
    </row>
    <row r="642" spans="1:9" x14ac:dyDescent="0.25">
      <c r="A642" s="57">
        <v>45867</v>
      </c>
      <c r="B642" s="51" t="s">
        <v>59</v>
      </c>
      <c r="C642" s="58">
        <v>0.64583333333333337</v>
      </c>
      <c r="D642" s="58">
        <v>0.71180555555555558</v>
      </c>
      <c r="E642" s="39">
        <f t="shared" si="26"/>
        <v>94.999999999999986</v>
      </c>
      <c r="F642" s="51" t="s">
        <v>198</v>
      </c>
      <c r="G642" s="51" t="s">
        <v>600</v>
      </c>
      <c r="H642" s="51"/>
      <c r="I642" s="51"/>
    </row>
    <row r="643" spans="1:9" x14ac:dyDescent="0.25">
      <c r="A643" s="57">
        <v>45867</v>
      </c>
      <c r="B643" s="51" t="s">
        <v>59</v>
      </c>
      <c r="C643" s="58">
        <v>0.71180555555555558</v>
      </c>
      <c r="D643" s="58">
        <v>0.72222222222222221</v>
      </c>
      <c r="E643" s="39">
        <f t="shared" si="26"/>
        <v>14.999999999999947</v>
      </c>
      <c r="F643" s="51" t="s">
        <v>198</v>
      </c>
      <c r="G643" s="51" t="s">
        <v>601</v>
      </c>
      <c r="H643" s="51"/>
      <c r="I643" s="51"/>
    </row>
    <row r="644" spans="1:9" x14ac:dyDescent="0.25">
      <c r="A644" s="57">
        <v>45867</v>
      </c>
      <c r="B644" s="51" t="s">
        <v>59</v>
      </c>
      <c r="C644" s="58">
        <v>0.72222222222222221</v>
      </c>
      <c r="D644" s="58">
        <v>0.73263888888888884</v>
      </c>
      <c r="E644" s="39">
        <f t="shared" si="26"/>
        <v>14.999999999999947</v>
      </c>
      <c r="F644" s="51" t="s">
        <v>198</v>
      </c>
      <c r="G644" s="51" t="s">
        <v>593</v>
      </c>
      <c r="H644" s="63"/>
      <c r="I644" s="51"/>
    </row>
    <row r="645" spans="1:9" x14ac:dyDescent="0.25">
      <c r="A645" s="57">
        <v>45867</v>
      </c>
      <c r="B645" s="51" t="s">
        <v>59</v>
      </c>
      <c r="C645" s="58">
        <v>0.73263888888888884</v>
      </c>
      <c r="D645" s="58">
        <v>0.76388888888888884</v>
      </c>
      <c r="E645" s="39">
        <f t="shared" si="26"/>
        <v>45</v>
      </c>
      <c r="F645" s="51" t="s">
        <v>198</v>
      </c>
      <c r="G645" s="51" t="s">
        <v>602</v>
      </c>
      <c r="H645" s="51"/>
      <c r="I645" s="51"/>
    </row>
    <row r="646" spans="1:9" x14ac:dyDescent="0.25">
      <c r="A646" s="57">
        <v>45867</v>
      </c>
      <c r="B646" s="51"/>
      <c r="C646" s="58"/>
      <c r="D646" s="58"/>
      <c r="E646" s="39"/>
      <c r="F646" s="51"/>
      <c r="G646" s="51" t="s">
        <v>603</v>
      </c>
      <c r="H646" s="51"/>
      <c r="I646" s="51"/>
    </row>
    <row r="647" spans="1:9" ht="34.799999999999997" x14ac:dyDescent="0.25">
      <c r="A647" s="57">
        <v>45867</v>
      </c>
      <c r="B647" s="51"/>
      <c r="C647" s="58"/>
      <c r="D647" s="58"/>
      <c r="E647" s="39"/>
      <c r="F647" s="51"/>
      <c r="G647" s="51" t="s">
        <v>604</v>
      </c>
      <c r="H647" s="51"/>
      <c r="I647" s="51"/>
    </row>
    <row r="648" spans="1:9" x14ac:dyDescent="0.25">
      <c r="A648" s="57">
        <v>45867</v>
      </c>
      <c r="B648" s="51"/>
      <c r="C648" s="58"/>
      <c r="D648" s="58"/>
      <c r="E648" s="39"/>
      <c r="F648" s="51"/>
      <c r="G648" s="51" t="s">
        <v>605</v>
      </c>
      <c r="H648" s="51"/>
      <c r="I648" s="51"/>
    </row>
    <row r="649" spans="1:9" x14ac:dyDescent="0.25">
      <c r="A649" s="57">
        <v>45867</v>
      </c>
      <c r="B649" s="51"/>
      <c r="C649" s="58"/>
      <c r="D649" s="58"/>
      <c r="E649" s="39"/>
      <c r="F649" s="51"/>
      <c r="G649" s="51" t="s">
        <v>606</v>
      </c>
      <c r="H649" s="51"/>
      <c r="I649" s="51"/>
    </row>
    <row r="650" spans="1:9" x14ac:dyDescent="0.25">
      <c r="A650" s="57">
        <v>45867</v>
      </c>
      <c r="B650" s="51"/>
      <c r="C650" s="58"/>
      <c r="D650" s="58"/>
      <c r="E650" s="39"/>
      <c r="F650" s="51"/>
      <c r="G650" s="51" t="s">
        <v>607</v>
      </c>
      <c r="H650" s="63"/>
      <c r="I650" s="51"/>
    </row>
    <row r="651" spans="1:9" x14ac:dyDescent="0.25">
      <c r="A651" s="57">
        <v>45867</v>
      </c>
      <c r="B651" s="51" t="s">
        <v>59</v>
      </c>
      <c r="C651" s="58">
        <v>0.76388888888888884</v>
      </c>
      <c r="D651" s="58">
        <v>0.77430555555555558</v>
      </c>
      <c r="E651" s="39">
        <f t="shared" si="26"/>
        <v>15.000000000000107</v>
      </c>
      <c r="F651" s="51" t="s">
        <v>198</v>
      </c>
      <c r="G651" s="51" t="s">
        <v>596</v>
      </c>
      <c r="H651" s="51"/>
      <c r="I651" s="51"/>
    </row>
    <row r="652" spans="1:9" x14ac:dyDescent="0.25">
      <c r="A652" s="57">
        <v>45867</v>
      </c>
      <c r="B652" s="51" t="s">
        <v>59</v>
      </c>
      <c r="C652" s="58">
        <v>0.77430555555555558</v>
      </c>
      <c r="D652" s="58">
        <v>0.78125</v>
      </c>
      <c r="E652" s="39">
        <f t="shared" si="26"/>
        <v>9.9999999999999645</v>
      </c>
      <c r="F652" s="51" t="s">
        <v>198</v>
      </c>
      <c r="G652" s="51" t="s">
        <v>608</v>
      </c>
      <c r="H652" s="63"/>
      <c r="I652" s="51"/>
    </row>
    <row r="653" spans="1:9" x14ac:dyDescent="0.25">
      <c r="A653" s="57">
        <v>45867</v>
      </c>
      <c r="B653" s="51" t="s">
        <v>59</v>
      </c>
      <c r="C653" s="58">
        <v>0.78125</v>
      </c>
      <c r="D653" s="58">
        <v>0.79861111111111116</v>
      </c>
      <c r="E653" s="39">
        <f t="shared" si="26"/>
        <v>25.000000000000071</v>
      </c>
      <c r="F653" s="51" t="s">
        <v>198</v>
      </c>
      <c r="G653" s="51" t="s">
        <v>542</v>
      </c>
      <c r="H653" s="51"/>
      <c r="I653" s="51"/>
    </row>
    <row r="654" spans="1:9" x14ac:dyDescent="0.25">
      <c r="A654" s="57">
        <v>45867</v>
      </c>
      <c r="B654" s="51" t="s">
        <v>59</v>
      </c>
      <c r="C654" s="58">
        <v>0.79861111111111116</v>
      </c>
      <c r="D654" s="58">
        <v>0.82638888888888884</v>
      </c>
      <c r="E654" s="39">
        <f t="shared" si="26"/>
        <v>39.999999999999858</v>
      </c>
      <c r="F654" s="51" t="s">
        <v>198</v>
      </c>
      <c r="G654" s="51" t="s">
        <v>220</v>
      </c>
      <c r="H654" s="51"/>
      <c r="I654" s="51"/>
    </row>
    <row r="655" spans="1:9" x14ac:dyDescent="0.25">
      <c r="A655" s="57">
        <v>45867</v>
      </c>
      <c r="B655" s="51" t="s">
        <v>59</v>
      </c>
      <c r="C655" s="58">
        <v>0.82638888888888884</v>
      </c>
      <c r="D655" s="58">
        <v>0.83680555555555558</v>
      </c>
      <c r="E655" s="39">
        <f t="shared" si="26"/>
        <v>15.000000000000107</v>
      </c>
      <c r="F655" s="51" t="s">
        <v>198</v>
      </c>
      <c r="G655" s="51" t="s">
        <v>609</v>
      </c>
      <c r="H655" s="51"/>
      <c r="I655" s="51"/>
    </row>
    <row r="656" spans="1:9" x14ac:dyDescent="0.25">
      <c r="A656" s="57">
        <v>45867</v>
      </c>
      <c r="B656" s="51" t="s">
        <v>59</v>
      </c>
      <c r="C656" s="58">
        <v>0.83680555555555558</v>
      </c>
      <c r="D656" s="58">
        <v>0.86458333333333337</v>
      </c>
      <c r="E656" s="39">
        <f t="shared" si="26"/>
        <v>40.000000000000014</v>
      </c>
      <c r="F656" s="51" t="s">
        <v>198</v>
      </c>
      <c r="G656" s="51" t="s">
        <v>610</v>
      </c>
      <c r="H656" s="63"/>
      <c r="I656" s="51"/>
    </row>
    <row r="657" spans="1:9" x14ac:dyDescent="0.25">
      <c r="A657" s="57">
        <v>45867</v>
      </c>
      <c r="B657" s="51" t="s">
        <v>59</v>
      </c>
      <c r="C657" s="58">
        <v>0.86458333333333337</v>
      </c>
      <c r="D657" s="58">
        <v>0.88888888888888884</v>
      </c>
      <c r="E657" s="39">
        <f t="shared" si="26"/>
        <v>34.999999999999872</v>
      </c>
      <c r="F657" s="51" t="s">
        <v>198</v>
      </c>
      <c r="G657" s="51" t="s">
        <v>611</v>
      </c>
      <c r="H657" s="51"/>
      <c r="I657" s="51"/>
    </row>
    <row r="658" spans="1:9" x14ac:dyDescent="0.25">
      <c r="A658" s="57">
        <v>45867</v>
      </c>
      <c r="B658" s="51" t="s">
        <v>59</v>
      </c>
      <c r="C658" s="58">
        <v>0.88888888888888884</v>
      </c>
      <c r="D658" s="58">
        <v>0.89583333333333337</v>
      </c>
      <c r="E658" s="39">
        <f t="shared" si="26"/>
        <v>10.000000000000124</v>
      </c>
      <c r="F658" s="51" t="s">
        <v>198</v>
      </c>
      <c r="G658" s="51" t="s">
        <v>612</v>
      </c>
      <c r="H658" s="51"/>
      <c r="I658" s="51"/>
    </row>
    <row r="659" spans="1:9" x14ac:dyDescent="0.25">
      <c r="A659" s="57">
        <v>45867</v>
      </c>
      <c r="B659" s="51" t="s">
        <v>59</v>
      </c>
      <c r="C659" s="58">
        <v>0.89583333333333337</v>
      </c>
      <c r="D659" s="58">
        <v>0.90277777777777779</v>
      </c>
      <c r="E659" s="39">
        <f t="shared" si="26"/>
        <v>9.9999999999999645</v>
      </c>
      <c r="F659" s="51" t="s">
        <v>198</v>
      </c>
      <c r="G659" s="51" t="s">
        <v>613</v>
      </c>
      <c r="H659" s="63"/>
      <c r="I659" s="51"/>
    </row>
    <row r="660" spans="1:9" x14ac:dyDescent="0.25">
      <c r="A660" s="57">
        <v>45867</v>
      </c>
      <c r="B660" s="51" t="s">
        <v>59</v>
      </c>
      <c r="C660" s="58">
        <v>0.90277777777777779</v>
      </c>
      <c r="D660" s="58">
        <v>0.91319444444444442</v>
      </c>
      <c r="E660" s="39">
        <f t="shared" si="26"/>
        <v>14.999999999999947</v>
      </c>
      <c r="F660" s="51" t="s">
        <v>198</v>
      </c>
      <c r="G660" s="51" t="s">
        <v>614</v>
      </c>
      <c r="H660" s="51"/>
      <c r="I660" s="51"/>
    </row>
    <row r="661" spans="1:9" x14ac:dyDescent="0.25">
      <c r="A661" s="57">
        <v>45867</v>
      </c>
      <c r="B661" s="51" t="s">
        <v>59</v>
      </c>
      <c r="C661" s="58">
        <v>0.91319444444444442</v>
      </c>
      <c r="D661" s="58">
        <v>0.92013888888888884</v>
      </c>
      <c r="E661" s="39">
        <f t="shared" si="26"/>
        <v>9.9999999999999645</v>
      </c>
      <c r="F661" s="51" t="s">
        <v>198</v>
      </c>
      <c r="G661" s="51" t="s">
        <v>615</v>
      </c>
      <c r="H661" s="51"/>
      <c r="I661" s="51"/>
    </row>
    <row r="662" spans="1:9" x14ac:dyDescent="0.25">
      <c r="A662" s="57">
        <v>45867</v>
      </c>
      <c r="B662" s="51" t="s">
        <v>59</v>
      </c>
      <c r="C662" s="58">
        <v>0.92013888888888884</v>
      </c>
      <c r="D662" s="58">
        <v>0.95833333333333337</v>
      </c>
      <c r="E662" s="39">
        <f t="shared" si="26"/>
        <v>55.000000000000128</v>
      </c>
      <c r="F662" s="51" t="s">
        <v>198</v>
      </c>
      <c r="G662" s="51" t="s">
        <v>274</v>
      </c>
      <c r="H662" s="51"/>
      <c r="I662" s="51"/>
    </row>
    <row r="663" spans="1:9" x14ac:dyDescent="0.25">
      <c r="A663" s="57">
        <v>45867</v>
      </c>
      <c r="B663" s="51" t="s">
        <v>59</v>
      </c>
      <c r="C663" s="58"/>
      <c r="D663" s="58"/>
      <c r="E663" s="39">
        <f t="shared" si="26"/>
        <v>0</v>
      </c>
      <c r="F663" s="51" t="s">
        <v>198</v>
      </c>
      <c r="G663" s="51" t="s">
        <v>616</v>
      </c>
      <c r="H663" s="51"/>
      <c r="I663" s="51"/>
    </row>
    <row r="664" spans="1:9" x14ac:dyDescent="0.25">
      <c r="A664" s="57">
        <v>45867</v>
      </c>
      <c r="B664" s="51" t="s">
        <v>59</v>
      </c>
      <c r="C664" s="58"/>
      <c r="D664" s="58"/>
      <c r="E664" s="39">
        <f t="shared" si="26"/>
        <v>0</v>
      </c>
      <c r="F664" s="51" t="s">
        <v>198</v>
      </c>
      <c r="G664" s="51" t="s">
        <v>617</v>
      </c>
      <c r="H664" s="51"/>
      <c r="I664" s="51"/>
    </row>
    <row r="665" spans="1:9" x14ac:dyDescent="0.25">
      <c r="A665" s="57">
        <v>45867</v>
      </c>
      <c r="B665" s="51" t="s">
        <v>59</v>
      </c>
      <c r="C665" s="58"/>
      <c r="D665" s="58"/>
      <c r="E665" s="39">
        <f t="shared" si="26"/>
        <v>0</v>
      </c>
      <c r="F665" s="51" t="s">
        <v>198</v>
      </c>
      <c r="G665" s="51" t="s">
        <v>618</v>
      </c>
      <c r="H665" s="63"/>
      <c r="I665" s="51"/>
    </row>
    <row r="666" spans="1:9" ht="46.2" x14ac:dyDescent="0.25">
      <c r="A666" s="57">
        <v>45867</v>
      </c>
      <c r="B666" s="51" t="s">
        <v>59</v>
      </c>
      <c r="C666" s="58"/>
      <c r="D666" s="58"/>
      <c r="E666" s="39">
        <f t="shared" ref="E666:E673" si="28">(D666-C666)*1440</f>
        <v>0</v>
      </c>
      <c r="F666" s="51" t="s">
        <v>198</v>
      </c>
      <c r="G666" s="51" t="s">
        <v>619</v>
      </c>
      <c r="H666" s="51"/>
      <c r="I666" s="51"/>
    </row>
    <row r="667" spans="1:9" x14ac:dyDescent="0.25">
      <c r="A667" s="57">
        <v>45867</v>
      </c>
      <c r="B667" s="51" t="s">
        <v>59</v>
      </c>
      <c r="C667" s="58"/>
      <c r="D667" s="58"/>
      <c r="E667" s="39">
        <f t="shared" si="28"/>
        <v>0</v>
      </c>
      <c r="F667" s="51" t="s">
        <v>198</v>
      </c>
      <c r="G667" s="51" t="s">
        <v>620</v>
      </c>
      <c r="H667" s="51"/>
      <c r="I667" s="51"/>
    </row>
    <row r="668" spans="1:9" x14ac:dyDescent="0.25">
      <c r="A668" s="57">
        <v>45867</v>
      </c>
      <c r="B668" s="51" t="s">
        <v>59</v>
      </c>
      <c r="C668" s="58"/>
      <c r="D668" s="58"/>
      <c r="E668" s="39">
        <f t="shared" si="28"/>
        <v>0</v>
      </c>
      <c r="F668" s="51" t="s">
        <v>198</v>
      </c>
      <c r="G668" s="51" t="s">
        <v>621</v>
      </c>
      <c r="H668" s="63"/>
      <c r="I668" s="51"/>
    </row>
    <row r="669" spans="1:9" x14ac:dyDescent="0.25">
      <c r="A669" s="57">
        <v>45867</v>
      </c>
      <c r="B669" s="51" t="s">
        <v>59</v>
      </c>
      <c r="C669" s="58"/>
      <c r="D669" s="58"/>
      <c r="E669" s="39">
        <f t="shared" si="28"/>
        <v>0</v>
      </c>
      <c r="F669" s="51" t="s">
        <v>198</v>
      </c>
      <c r="G669" s="51" t="s">
        <v>622</v>
      </c>
      <c r="H669" s="51"/>
      <c r="I669" s="51"/>
    </row>
    <row r="670" spans="1:9" x14ac:dyDescent="0.25">
      <c r="A670" s="57">
        <v>45867</v>
      </c>
      <c r="B670" s="51" t="s">
        <v>59</v>
      </c>
      <c r="C670" s="58"/>
      <c r="D670" s="58"/>
      <c r="E670" s="39">
        <f t="shared" si="28"/>
        <v>0</v>
      </c>
      <c r="F670" s="51" t="s">
        <v>198</v>
      </c>
      <c r="G670" s="51" t="s">
        <v>623</v>
      </c>
      <c r="H670" s="51"/>
      <c r="I670" s="51"/>
    </row>
    <row r="671" spans="1:9" x14ac:dyDescent="0.25">
      <c r="A671" s="35"/>
      <c r="B671" s="53"/>
      <c r="C671" s="35"/>
      <c r="D671" s="35"/>
      <c r="E671" s="35"/>
      <c r="F671" s="53"/>
      <c r="G671" s="35"/>
      <c r="H671" s="35"/>
      <c r="I671" s="35"/>
    </row>
    <row r="672" spans="1:9" x14ac:dyDescent="0.25">
      <c r="A672" s="19" t="s">
        <v>1</v>
      </c>
      <c r="B672" s="19" t="s">
        <v>2</v>
      </c>
      <c r="C672" s="69" t="s">
        <v>3</v>
      </c>
      <c r="D672" s="55"/>
      <c r="E672" s="22" t="s">
        <v>4</v>
      </c>
      <c r="F672" s="19" t="s">
        <v>5</v>
      </c>
      <c r="G672" s="19" t="s">
        <v>6</v>
      </c>
      <c r="H672" s="19" t="s">
        <v>7</v>
      </c>
      <c r="I672" s="19" t="s">
        <v>8</v>
      </c>
    </row>
    <row r="673" spans="1:9" x14ac:dyDescent="0.25">
      <c r="A673" s="56"/>
      <c r="B673" s="56"/>
      <c r="C673" s="51" t="s">
        <v>9</v>
      </c>
      <c r="D673" s="51" t="s">
        <v>10</v>
      </c>
      <c r="E673" s="70"/>
      <c r="F673" s="56"/>
      <c r="G673" s="56"/>
      <c r="H673" s="56"/>
      <c r="I673" s="56"/>
    </row>
    <row r="674" spans="1:9" x14ac:dyDescent="0.25">
      <c r="A674" s="57">
        <v>45868</v>
      </c>
      <c r="B674" s="51" t="s">
        <v>88</v>
      </c>
      <c r="C674" s="58">
        <v>0.4236111111111111</v>
      </c>
      <c r="D674" s="58">
        <v>0.43055555555555558</v>
      </c>
      <c r="E674" s="39">
        <f t="shared" ref="E674:E699" si="29">(D674-C674)*1440</f>
        <v>10.000000000000044</v>
      </c>
      <c r="F674" s="51" t="s">
        <v>198</v>
      </c>
      <c r="G674" s="51" t="s">
        <v>397</v>
      </c>
      <c r="H674" s="63"/>
      <c r="I674" s="51"/>
    </row>
    <row r="675" spans="1:9" x14ac:dyDescent="0.25">
      <c r="A675" s="57">
        <v>45868</v>
      </c>
      <c r="B675" s="51" t="s">
        <v>88</v>
      </c>
      <c r="C675" s="58">
        <v>0.43055555555555558</v>
      </c>
      <c r="D675" s="58">
        <v>0.44097222222222221</v>
      </c>
      <c r="E675" s="39">
        <f t="shared" si="29"/>
        <v>14.999999999999947</v>
      </c>
      <c r="F675" s="51" t="s">
        <v>198</v>
      </c>
      <c r="G675" s="51" t="s">
        <v>218</v>
      </c>
      <c r="H675" s="51"/>
      <c r="I675" s="51"/>
    </row>
    <row r="676" spans="1:9" x14ac:dyDescent="0.25">
      <c r="A676" s="57">
        <v>45868</v>
      </c>
      <c r="B676" s="51" t="s">
        <v>88</v>
      </c>
      <c r="C676" s="58">
        <v>0.44097222222222221</v>
      </c>
      <c r="D676" s="58">
        <v>0.44791666666666669</v>
      </c>
      <c r="E676" s="39">
        <f t="shared" si="29"/>
        <v>10.000000000000044</v>
      </c>
      <c r="F676" s="51" t="s">
        <v>198</v>
      </c>
      <c r="G676" s="51" t="s">
        <v>590</v>
      </c>
      <c r="H676" s="63"/>
      <c r="I676" s="51"/>
    </row>
    <row r="677" spans="1:9" x14ac:dyDescent="0.25">
      <c r="A677" s="57">
        <v>45868</v>
      </c>
      <c r="B677" s="51" t="s">
        <v>88</v>
      </c>
      <c r="C677" s="58">
        <v>0.44791666666666669</v>
      </c>
      <c r="D677" s="58">
        <v>0.45833333333333331</v>
      </c>
      <c r="E677" s="39">
        <f t="shared" si="29"/>
        <v>14.999999999999947</v>
      </c>
      <c r="F677" s="51" t="s">
        <v>198</v>
      </c>
      <c r="G677" s="51" t="s">
        <v>591</v>
      </c>
      <c r="H677" s="51"/>
      <c r="I677" s="51"/>
    </row>
    <row r="678" spans="1:9" x14ac:dyDescent="0.25">
      <c r="A678" s="57">
        <v>45868</v>
      </c>
      <c r="B678" s="51" t="s">
        <v>88</v>
      </c>
      <c r="C678" s="58">
        <v>0.45833333333333331</v>
      </c>
      <c r="D678" s="58">
        <v>0.47222222222222221</v>
      </c>
      <c r="E678" s="39">
        <f t="shared" si="29"/>
        <v>20.000000000000007</v>
      </c>
      <c r="F678" s="51" t="s">
        <v>198</v>
      </c>
      <c r="G678" s="51" t="s">
        <v>594</v>
      </c>
      <c r="H678" s="51"/>
      <c r="I678" s="51"/>
    </row>
    <row r="679" spans="1:9" x14ac:dyDescent="0.25">
      <c r="A679" s="57">
        <v>45868</v>
      </c>
      <c r="B679" s="51" t="s">
        <v>88</v>
      </c>
      <c r="C679" s="58">
        <v>0.47222222222222221</v>
      </c>
      <c r="D679" s="58">
        <v>0.47916666666666669</v>
      </c>
      <c r="E679" s="39">
        <f t="shared" si="29"/>
        <v>10.000000000000044</v>
      </c>
      <c r="F679" s="51" t="s">
        <v>198</v>
      </c>
      <c r="G679" s="51" t="s">
        <v>624</v>
      </c>
      <c r="H679" s="63"/>
      <c r="I679" s="51"/>
    </row>
    <row r="680" spans="1:9" x14ac:dyDescent="0.25">
      <c r="A680" s="57">
        <v>45868</v>
      </c>
      <c r="B680" s="51" t="s">
        <v>88</v>
      </c>
      <c r="C680" s="58">
        <v>0.47916666666666669</v>
      </c>
      <c r="D680" s="58">
        <v>0.48958333333333331</v>
      </c>
      <c r="E680" s="39">
        <f t="shared" si="29"/>
        <v>14.999999999999947</v>
      </c>
      <c r="F680" s="51" t="s">
        <v>198</v>
      </c>
      <c r="G680" s="51" t="s">
        <v>593</v>
      </c>
      <c r="H680" s="51"/>
      <c r="I680" s="51"/>
    </row>
    <row r="681" spans="1:9" x14ac:dyDescent="0.25">
      <c r="A681" s="57">
        <v>45868</v>
      </c>
      <c r="B681" s="51" t="s">
        <v>88</v>
      </c>
      <c r="C681" s="58">
        <v>0.48958333333333331</v>
      </c>
      <c r="D681" s="58">
        <v>0.52083333333333337</v>
      </c>
      <c r="E681" s="39">
        <f t="shared" si="29"/>
        <v>45.000000000000078</v>
      </c>
      <c r="F681" s="51" t="s">
        <v>198</v>
      </c>
      <c r="G681" s="51" t="s">
        <v>625</v>
      </c>
      <c r="H681" s="51"/>
      <c r="I681" s="51"/>
    </row>
    <row r="682" spans="1:9" x14ac:dyDescent="0.25">
      <c r="A682" s="57">
        <v>45868</v>
      </c>
      <c r="B682" s="51" t="s">
        <v>88</v>
      </c>
      <c r="C682" s="58">
        <v>0.52083333333333337</v>
      </c>
      <c r="D682" s="58">
        <v>0.53472222222222221</v>
      </c>
      <c r="E682" s="39">
        <f t="shared" si="29"/>
        <v>19.999999999999929</v>
      </c>
      <c r="F682" s="51" t="s">
        <v>198</v>
      </c>
      <c r="G682" s="51" t="s">
        <v>596</v>
      </c>
      <c r="H682" s="51"/>
      <c r="I682" s="51"/>
    </row>
    <row r="683" spans="1:9" x14ac:dyDescent="0.25">
      <c r="A683" s="57">
        <v>45868</v>
      </c>
      <c r="B683" s="51" t="s">
        <v>88</v>
      </c>
      <c r="C683" s="58">
        <v>0.53472222222222221</v>
      </c>
      <c r="D683" s="58">
        <v>0.54166666666666663</v>
      </c>
      <c r="E683" s="39">
        <f t="shared" si="29"/>
        <v>9.9999999999999645</v>
      </c>
      <c r="F683" s="51" t="s">
        <v>198</v>
      </c>
      <c r="G683" s="51" t="s">
        <v>336</v>
      </c>
      <c r="H683" s="63"/>
      <c r="I683" s="51"/>
    </row>
    <row r="684" spans="1:9" x14ac:dyDescent="0.25">
      <c r="A684" s="57">
        <v>45868</v>
      </c>
      <c r="B684" s="51" t="s">
        <v>88</v>
      </c>
      <c r="C684" s="58">
        <v>0.54166666666666663</v>
      </c>
      <c r="D684" s="58">
        <v>0.55555555555555558</v>
      </c>
      <c r="E684" s="39">
        <f t="shared" si="29"/>
        <v>20.000000000000089</v>
      </c>
      <c r="F684" s="51" t="s">
        <v>198</v>
      </c>
      <c r="G684" s="51" t="s">
        <v>528</v>
      </c>
      <c r="H684" s="51"/>
      <c r="I684" s="51"/>
    </row>
    <row r="685" spans="1:9" x14ac:dyDescent="0.25">
      <c r="A685" s="57">
        <v>45868</v>
      </c>
      <c r="B685" s="51" t="s">
        <v>88</v>
      </c>
      <c r="C685" s="58">
        <v>0.55555555555555558</v>
      </c>
      <c r="D685" s="58">
        <v>0.63194444444444442</v>
      </c>
      <c r="E685" s="39">
        <f t="shared" si="29"/>
        <v>109.99999999999993</v>
      </c>
      <c r="F685" s="51" t="s">
        <v>198</v>
      </c>
      <c r="G685" s="51" t="s">
        <v>626</v>
      </c>
      <c r="H685" s="51"/>
      <c r="I685" s="51"/>
    </row>
    <row r="686" spans="1:9" x14ac:dyDescent="0.25">
      <c r="A686" s="57">
        <v>45868</v>
      </c>
      <c r="B686" s="51" t="s">
        <v>88</v>
      </c>
      <c r="C686" s="58">
        <v>0.63194444444444442</v>
      </c>
      <c r="D686" s="58">
        <v>0.64583333333333337</v>
      </c>
      <c r="E686" s="39">
        <f t="shared" si="29"/>
        <v>20.000000000000089</v>
      </c>
      <c r="F686" s="51" t="s">
        <v>198</v>
      </c>
      <c r="G686" s="51" t="s">
        <v>593</v>
      </c>
      <c r="H686" s="63"/>
      <c r="I686" s="51"/>
    </row>
    <row r="687" spans="1:9" x14ac:dyDescent="0.25">
      <c r="A687" s="57">
        <v>45868</v>
      </c>
      <c r="B687" s="51" t="s">
        <v>88</v>
      </c>
      <c r="C687" s="58">
        <v>0.64583333333333337</v>
      </c>
      <c r="D687" s="58">
        <v>0.67708333333333337</v>
      </c>
      <c r="E687" s="39">
        <f t="shared" si="29"/>
        <v>45</v>
      </c>
      <c r="F687" s="51" t="s">
        <v>198</v>
      </c>
      <c r="G687" s="51" t="s">
        <v>596</v>
      </c>
      <c r="H687" s="51"/>
      <c r="I687" s="51"/>
    </row>
    <row r="688" spans="1:9" x14ac:dyDescent="0.25">
      <c r="A688" s="57">
        <v>45868</v>
      </c>
      <c r="B688" s="51" t="s">
        <v>88</v>
      </c>
      <c r="C688" s="58">
        <v>0.67708333333333337</v>
      </c>
      <c r="D688" s="58">
        <v>0.75</v>
      </c>
      <c r="E688" s="39">
        <f t="shared" si="29"/>
        <v>104.99999999999994</v>
      </c>
      <c r="F688" s="51" t="s">
        <v>198</v>
      </c>
      <c r="G688" s="51" t="s">
        <v>627</v>
      </c>
      <c r="H688" s="51"/>
      <c r="I688" s="51"/>
    </row>
    <row r="689" spans="1:9" x14ac:dyDescent="0.25">
      <c r="A689" s="57">
        <v>45868</v>
      </c>
      <c r="B689" s="51" t="s">
        <v>88</v>
      </c>
      <c r="C689" s="58">
        <v>0.75</v>
      </c>
      <c r="D689" s="58">
        <v>0.76041666666666663</v>
      </c>
      <c r="E689" s="39">
        <f t="shared" si="29"/>
        <v>14.999999999999947</v>
      </c>
      <c r="F689" s="51" t="s">
        <v>198</v>
      </c>
      <c r="G689" s="51" t="s">
        <v>628</v>
      </c>
      <c r="H689" s="51"/>
      <c r="I689" s="51"/>
    </row>
    <row r="690" spans="1:9" x14ac:dyDescent="0.25">
      <c r="A690" s="57">
        <v>45868</v>
      </c>
      <c r="B690" s="51" t="s">
        <v>88</v>
      </c>
      <c r="C690" s="58">
        <v>0.76041666666666663</v>
      </c>
      <c r="D690" s="58">
        <v>0.77083333333333337</v>
      </c>
      <c r="E690" s="39">
        <f t="shared" si="29"/>
        <v>15.000000000000107</v>
      </c>
      <c r="F690" s="51" t="s">
        <v>198</v>
      </c>
      <c r="G690" s="51" t="s">
        <v>438</v>
      </c>
      <c r="H690" s="51"/>
      <c r="I690" s="51"/>
    </row>
    <row r="691" spans="1:9" x14ac:dyDescent="0.25">
      <c r="A691" s="57">
        <v>45868</v>
      </c>
      <c r="B691" s="51" t="s">
        <v>88</v>
      </c>
      <c r="C691" s="58">
        <v>0.77777777777777779</v>
      </c>
      <c r="D691" s="58">
        <v>0.80208333333333337</v>
      </c>
      <c r="E691" s="39">
        <f t="shared" si="29"/>
        <v>35.000000000000036</v>
      </c>
      <c r="F691" s="51" t="s">
        <v>198</v>
      </c>
      <c r="G691" s="51" t="s">
        <v>629</v>
      </c>
      <c r="H691" s="51"/>
      <c r="I691" s="51"/>
    </row>
    <row r="692" spans="1:9" x14ac:dyDescent="0.25">
      <c r="A692" s="57">
        <v>45868</v>
      </c>
      <c r="B692" s="51" t="s">
        <v>88</v>
      </c>
      <c r="C692" s="58">
        <v>0.80208333333333337</v>
      </c>
      <c r="D692" s="58">
        <v>0.82986111111111116</v>
      </c>
      <c r="E692" s="39">
        <f t="shared" si="29"/>
        <v>40.000000000000014</v>
      </c>
      <c r="F692" s="51" t="s">
        <v>198</v>
      </c>
      <c r="G692" s="51" t="s">
        <v>220</v>
      </c>
      <c r="H692" s="51"/>
      <c r="I692" s="51"/>
    </row>
    <row r="693" spans="1:9" x14ac:dyDescent="0.25">
      <c r="A693" s="57">
        <v>45868</v>
      </c>
      <c r="B693" s="51" t="s">
        <v>88</v>
      </c>
      <c r="C693" s="58">
        <v>0.82986111111111116</v>
      </c>
      <c r="D693" s="58">
        <v>0.84027777777777779</v>
      </c>
      <c r="E693" s="39">
        <f t="shared" si="29"/>
        <v>14.999999999999947</v>
      </c>
      <c r="F693" s="51" t="s">
        <v>198</v>
      </c>
      <c r="G693" s="51" t="s">
        <v>307</v>
      </c>
      <c r="H693" s="51"/>
      <c r="I693" s="51"/>
    </row>
    <row r="694" spans="1:9" x14ac:dyDescent="0.25">
      <c r="A694" s="57">
        <v>45868</v>
      </c>
      <c r="B694" s="51" t="s">
        <v>88</v>
      </c>
      <c r="C694" s="58">
        <v>0.84027777777777779</v>
      </c>
      <c r="D694" s="58">
        <v>0.85069444444444442</v>
      </c>
      <c r="E694" s="39">
        <f t="shared" si="29"/>
        <v>14.999999999999947</v>
      </c>
      <c r="F694" s="51" t="s">
        <v>198</v>
      </c>
      <c r="G694" s="51" t="s">
        <v>630</v>
      </c>
      <c r="H694" s="63"/>
      <c r="I694" s="51"/>
    </row>
    <row r="695" spans="1:9" x14ac:dyDescent="0.25">
      <c r="A695" s="57">
        <v>45868</v>
      </c>
      <c r="B695" s="51" t="s">
        <v>88</v>
      </c>
      <c r="C695" s="58">
        <v>0.85069444444444442</v>
      </c>
      <c r="D695" s="58">
        <v>0.85763888888888884</v>
      </c>
      <c r="E695" s="39">
        <f t="shared" si="29"/>
        <v>9.9999999999999645</v>
      </c>
      <c r="F695" s="51" t="s">
        <v>198</v>
      </c>
      <c r="G695" s="51" t="s">
        <v>631</v>
      </c>
      <c r="H695" s="51"/>
      <c r="I695" s="51"/>
    </row>
    <row r="696" spans="1:9" x14ac:dyDescent="0.25">
      <c r="A696" s="57">
        <v>45868</v>
      </c>
      <c r="B696" s="51" t="s">
        <v>88</v>
      </c>
      <c r="C696" s="58">
        <v>0.85763888888888884</v>
      </c>
      <c r="D696" s="58">
        <v>0.86458333333333337</v>
      </c>
      <c r="E696" s="39">
        <f t="shared" si="29"/>
        <v>10.000000000000124</v>
      </c>
      <c r="F696" s="51" t="s">
        <v>198</v>
      </c>
      <c r="G696" s="51" t="s">
        <v>632</v>
      </c>
      <c r="H696" s="51"/>
      <c r="I696" s="51"/>
    </row>
    <row r="697" spans="1:9" x14ac:dyDescent="0.25">
      <c r="A697" s="57">
        <v>45868</v>
      </c>
      <c r="B697" s="51" t="s">
        <v>88</v>
      </c>
      <c r="C697" s="58">
        <v>0.86458333333333337</v>
      </c>
      <c r="D697" s="58">
        <v>0.90972222222222221</v>
      </c>
      <c r="E697" s="39">
        <f t="shared" si="29"/>
        <v>64.999999999999929</v>
      </c>
      <c r="F697" s="51" t="s">
        <v>198</v>
      </c>
      <c r="G697" s="51" t="s">
        <v>633</v>
      </c>
      <c r="H697" s="63"/>
      <c r="I697" s="51"/>
    </row>
    <row r="698" spans="1:9" x14ac:dyDescent="0.25">
      <c r="A698" s="57">
        <v>45868</v>
      </c>
      <c r="B698" s="51" t="s">
        <v>88</v>
      </c>
      <c r="C698" s="58"/>
      <c r="D698" s="58"/>
      <c r="E698" s="39">
        <f t="shared" si="29"/>
        <v>0</v>
      </c>
      <c r="F698" s="51" t="s">
        <v>198</v>
      </c>
      <c r="G698" s="51" t="s">
        <v>634</v>
      </c>
      <c r="H698" s="51"/>
      <c r="I698" s="51"/>
    </row>
    <row r="699" spans="1:9" x14ac:dyDescent="0.25">
      <c r="A699" s="57">
        <v>45868</v>
      </c>
      <c r="B699" s="51" t="s">
        <v>88</v>
      </c>
      <c r="C699" s="58">
        <v>0.90972222222222221</v>
      </c>
      <c r="D699" s="58">
        <v>0.91666666666666663</v>
      </c>
      <c r="E699" s="39">
        <f t="shared" si="29"/>
        <v>9.9999999999999645</v>
      </c>
      <c r="F699" s="51" t="s">
        <v>198</v>
      </c>
      <c r="G699" s="51" t="s">
        <v>635</v>
      </c>
      <c r="H699" s="51"/>
      <c r="I699" s="51"/>
    </row>
    <row r="700" spans="1:9" x14ac:dyDescent="0.25">
      <c r="A700" s="35"/>
      <c r="B700" s="53"/>
      <c r="C700" s="35"/>
      <c r="D700" s="35"/>
      <c r="E700" s="35"/>
      <c r="F700" s="53"/>
      <c r="G700" s="35"/>
      <c r="H700" s="35"/>
      <c r="I700" s="35"/>
    </row>
    <row r="701" spans="1:9" x14ac:dyDescent="0.25">
      <c r="A701" s="19" t="s">
        <v>1</v>
      </c>
      <c r="B701" s="19" t="s">
        <v>2</v>
      </c>
      <c r="C701" s="69" t="s">
        <v>3</v>
      </c>
      <c r="D701" s="55"/>
      <c r="E701" s="22" t="s">
        <v>4</v>
      </c>
      <c r="F701" s="19" t="s">
        <v>5</v>
      </c>
      <c r="G701" s="19" t="s">
        <v>6</v>
      </c>
      <c r="H701" s="19" t="s">
        <v>7</v>
      </c>
      <c r="I701" s="19" t="s">
        <v>8</v>
      </c>
    </row>
    <row r="702" spans="1:9" x14ac:dyDescent="0.25">
      <c r="A702" s="56"/>
      <c r="B702" s="56"/>
      <c r="C702" s="51" t="s">
        <v>9</v>
      </c>
      <c r="D702" s="51" t="s">
        <v>10</v>
      </c>
      <c r="E702" s="70"/>
      <c r="F702" s="56"/>
      <c r="G702" s="56"/>
      <c r="H702" s="56"/>
      <c r="I702" s="56"/>
    </row>
    <row r="703" spans="1:9" x14ac:dyDescent="0.25">
      <c r="A703" s="57">
        <v>45869</v>
      </c>
      <c r="B703" s="51" t="s">
        <v>91</v>
      </c>
      <c r="C703" s="58">
        <v>0.4236111111111111</v>
      </c>
      <c r="D703" s="58">
        <v>0.43055555555555558</v>
      </c>
      <c r="E703" s="39">
        <f t="shared" ref="E703:E732" si="30">(D703-C703)*1440</f>
        <v>10.000000000000044</v>
      </c>
      <c r="F703" s="51" t="s">
        <v>198</v>
      </c>
      <c r="G703" s="51" t="s">
        <v>397</v>
      </c>
      <c r="H703" s="63"/>
      <c r="I703" s="51"/>
    </row>
    <row r="704" spans="1:9" x14ac:dyDescent="0.25">
      <c r="A704" s="57">
        <v>45869</v>
      </c>
      <c r="B704" s="51" t="s">
        <v>91</v>
      </c>
      <c r="C704" s="58">
        <v>0.43055555555555558</v>
      </c>
      <c r="D704" s="58">
        <v>0.44097222222222221</v>
      </c>
      <c r="E704" s="39">
        <f t="shared" si="30"/>
        <v>14.999999999999947</v>
      </c>
      <c r="F704" s="51" t="s">
        <v>198</v>
      </c>
      <c r="G704" s="51" t="s">
        <v>218</v>
      </c>
      <c r="H704" s="51"/>
      <c r="I704" s="51"/>
    </row>
    <row r="705" spans="1:9" x14ac:dyDescent="0.25">
      <c r="A705" s="57">
        <v>45869</v>
      </c>
      <c r="B705" s="51" t="s">
        <v>91</v>
      </c>
      <c r="C705" s="58">
        <v>0.44097222222222221</v>
      </c>
      <c r="D705" s="58">
        <v>0.44791666666666669</v>
      </c>
      <c r="E705" s="39">
        <f t="shared" si="30"/>
        <v>10.000000000000044</v>
      </c>
      <c r="F705" s="51" t="s">
        <v>198</v>
      </c>
      <c r="G705" s="51" t="s">
        <v>590</v>
      </c>
      <c r="H705" s="63"/>
      <c r="I705" s="51"/>
    </row>
    <row r="706" spans="1:9" x14ac:dyDescent="0.25">
      <c r="A706" s="57">
        <v>45869</v>
      </c>
      <c r="B706" s="51" t="s">
        <v>91</v>
      </c>
      <c r="C706" s="58">
        <v>0.44791666666666669</v>
      </c>
      <c r="D706" s="58">
        <v>0.45833333333333331</v>
      </c>
      <c r="E706" s="39">
        <f t="shared" si="30"/>
        <v>14.999999999999947</v>
      </c>
      <c r="F706" s="51" t="s">
        <v>198</v>
      </c>
      <c r="G706" s="51" t="s">
        <v>591</v>
      </c>
      <c r="H706" s="51"/>
      <c r="I706" s="51"/>
    </row>
    <row r="707" spans="1:9" x14ac:dyDescent="0.25">
      <c r="A707" s="57">
        <v>45869</v>
      </c>
      <c r="B707" s="51" t="s">
        <v>91</v>
      </c>
      <c r="C707" s="58">
        <v>0.45833333333333331</v>
      </c>
      <c r="D707" s="58">
        <v>0.47222222222222221</v>
      </c>
      <c r="E707" s="39">
        <f t="shared" si="30"/>
        <v>20.000000000000007</v>
      </c>
      <c r="F707" s="51" t="s">
        <v>198</v>
      </c>
      <c r="G707" s="51" t="s">
        <v>594</v>
      </c>
      <c r="H707" s="51"/>
      <c r="I707" s="51"/>
    </row>
    <row r="708" spans="1:9" x14ac:dyDescent="0.25">
      <c r="A708" s="57">
        <v>45869</v>
      </c>
      <c r="B708" s="51" t="s">
        <v>91</v>
      </c>
      <c r="C708" s="58">
        <v>0.47222222222222221</v>
      </c>
      <c r="D708" s="58">
        <v>0.47916666666666669</v>
      </c>
      <c r="E708" s="39">
        <f t="shared" si="30"/>
        <v>10.000000000000044</v>
      </c>
      <c r="F708" s="51" t="s">
        <v>198</v>
      </c>
      <c r="G708" s="51" t="s">
        <v>632</v>
      </c>
      <c r="H708" s="63"/>
      <c r="I708" s="51"/>
    </row>
    <row r="709" spans="1:9" x14ac:dyDescent="0.25">
      <c r="A709" s="57">
        <v>45869</v>
      </c>
      <c r="B709" s="51" t="s">
        <v>91</v>
      </c>
      <c r="C709" s="58">
        <v>0.47916666666666669</v>
      </c>
      <c r="D709" s="58">
        <v>0.48958333333333331</v>
      </c>
      <c r="E709" s="39">
        <f t="shared" si="30"/>
        <v>14.999999999999947</v>
      </c>
      <c r="F709" s="51" t="s">
        <v>198</v>
      </c>
      <c r="G709" s="51" t="s">
        <v>593</v>
      </c>
      <c r="H709" s="51"/>
      <c r="I709" s="51"/>
    </row>
    <row r="710" spans="1:9" x14ac:dyDescent="0.25">
      <c r="A710" s="57">
        <v>45869</v>
      </c>
      <c r="B710" s="51" t="s">
        <v>91</v>
      </c>
      <c r="C710" s="58">
        <v>0.48958333333333331</v>
      </c>
      <c r="D710" s="58">
        <v>0.52083333333333337</v>
      </c>
      <c r="E710" s="39">
        <f t="shared" si="30"/>
        <v>45.000000000000078</v>
      </c>
      <c r="F710" s="51" t="s">
        <v>198</v>
      </c>
      <c r="G710" s="51" t="s">
        <v>625</v>
      </c>
      <c r="H710" s="51"/>
      <c r="I710" s="51"/>
    </row>
    <row r="711" spans="1:9" x14ac:dyDescent="0.25">
      <c r="A711" s="57">
        <v>45869</v>
      </c>
      <c r="B711" s="51" t="s">
        <v>91</v>
      </c>
      <c r="C711" s="58">
        <v>0.52083333333333337</v>
      </c>
      <c r="D711" s="58">
        <v>0.53472222222222221</v>
      </c>
      <c r="E711" s="39">
        <f t="shared" si="30"/>
        <v>19.999999999999929</v>
      </c>
      <c r="F711" s="51" t="s">
        <v>198</v>
      </c>
      <c r="G711" s="51" t="s">
        <v>596</v>
      </c>
      <c r="H711" s="51"/>
      <c r="I711" s="51"/>
    </row>
    <row r="712" spans="1:9" x14ac:dyDescent="0.25">
      <c r="A712" s="57">
        <v>45869</v>
      </c>
      <c r="B712" s="51" t="s">
        <v>91</v>
      </c>
      <c r="C712" s="58">
        <v>0.53472222222222221</v>
      </c>
      <c r="D712" s="58">
        <v>0.54166666666666663</v>
      </c>
      <c r="E712" s="39">
        <f t="shared" si="30"/>
        <v>9.9999999999999645</v>
      </c>
      <c r="F712" s="51" t="s">
        <v>198</v>
      </c>
      <c r="G712" s="51" t="s">
        <v>336</v>
      </c>
      <c r="H712" s="63"/>
      <c r="I712" s="51"/>
    </row>
    <row r="713" spans="1:9" x14ac:dyDescent="0.25">
      <c r="A713" s="57">
        <v>45869</v>
      </c>
      <c r="B713" s="51" t="s">
        <v>91</v>
      </c>
      <c r="C713" s="58">
        <v>0.54166666666666663</v>
      </c>
      <c r="D713" s="58">
        <v>0.55555555555555558</v>
      </c>
      <c r="E713" s="39">
        <f t="shared" si="30"/>
        <v>20.000000000000089</v>
      </c>
      <c r="F713" s="51" t="s">
        <v>198</v>
      </c>
      <c r="G713" s="51" t="s">
        <v>528</v>
      </c>
      <c r="H713" s="51"/>
      <c r="I713" s="51"/>
    </row>
    <row r="714" spans="1:9" x14ac:dyDescent="0.25">
      <c r="A714" s="57">
        <v>45869</v>
      </c>
      <c r="B714" s="51" t="s">
        <v>91</v>
      </c>
      <c r="C714" s="58">
        <v>0.55555555555555558</v>
      </c>
      <c r="D714" s="58">
        <v>0.5625</v>
      </c>
      <c r="E714" s="39">
        <f t="shared" si="30"/>
        <v>9.9999999999999645</v>
      </c>
      <c r="F714" s="51" t="s">
        <v>198</v>
      </c>
      <c r="G714" s="51" t="s">
        <v>490</v>
      </c>
      <c r="H714" s="51"/>
      <c r="I714" s="51"/>
    </row>
    <row r="715" spans="1:9" x14ac:dyDescent="0.25">
      <c r="A715" s="57">
        <v>45869</v>
      </c>
      <c r="B715" s="51" t="s">
        <v>91</v>
      </c>
      <c r="C715" s="58">
        <v>0.5625</v>
      </c>
      <c r="D715" s="58">
        <v>0.57291666666666663</v>
      </c>
      <c r="E715" s="39">
        <f t="shared" si="30"/>
        <v>14.999999999999947</v>
      </c>
      <c r="F715" s="51" t="s">
        <v>198</v>
      </c>
      <c r="G715" s="51" t="s">
        <v>636</v>
      </c>
      <c r="H715" s="63"/>
      <c r="I715" s="51"/>
    </row>
    <row r="716" spans="1:9" x14ac:dyDescent="0.25">
      <c r="A716" s="57">
        <v>45869</v>
      </c>
      <c r="B716" s="51" t="s">
        <v>91</v>
      </c>
      <c r="C716" s="58">
        <v>0.57291666666666663</v>
      </c>
      <c r="D716" s="58">
        <v>0.57986111111111116</v>
      </c>
      <c r="E716" s="39">
        <f t="shared" si="30"/>
        <v>10.000000000000124</v>
      </c>
      <c r="F716" s="51" t="s">
        <v>198</v>
      </c>
      <c r="G716" s="51" t="s">
        <v>637</v>
      </c>
      <c r="H716" s="51"/>
      <c r="I716" s="51"/>
    </row>
    <row r="717" spans="1:9" x14ac:dyDescent="0.25">
      <c r="A717" s="57">
        <v>45869</v>
      </c>
      <c r="B717" s="51" t="s">
        <v>91</v>
      </c>
      <c r="C717" s="58">
        <v>0.57986111111111116</v>
      </c>
      <c r="D717" s="58">
        <v>0.61111111111111116</v>
      </c>
      <c r="E717" s="39">
        <f t="shared" si="30"/>
        <v>45</v>
      </c>
      <c r="F717" s="51" t="s">
        <v>198</v>
      </c>
      <c r="G717" s="51" t="s">
        <v>638</v>
      </c>
      <c r="H717" s="51"/>
      <c r="I717" s="51"/>
    </row>
    <row r="718" spans="1:9" x14ac:dyDescent="0.25">
      <c r="A718" s="57">
        <v>45869</v>
      </c>
      <c r="B718" s="51" t="s">
        <v>91</v>
      </c>
      <c r="C718" s="58">
        <v>0.61111111111111116</v>
      </c>
      <c r="D718" s="58">
        <v>0.62152777777777779</v>
      </c>
      <c r="E718" s="39">
        <f t="shared" si="30"/>
        <v>14.999999999999947</v>
      </c>
      <c r="F718" s="51" t="s">
        <v>198</v>
      </c>
      <c r="G718" s="51" t="s">
        <v>593</v>
      </c>
      <c r="H718" s="51"/>
      <c r="I718" s="51"/>
    </row>
    <row r="719" spans="1:9" x14ac:dyDescent="0.25">
      <c r="A719" s="57">
        <v>45869</v>
      </c>
      <c r="B719" s="51" t="s">
        <v>91</v>
      </c>
      <c r="C719" s="58">
        <v>0.62152777777777779</v>
      </c>
      <c r="D719" s="58">
        <v>0.65277777777777779</v>
      </c>
      <c r="E719" s="39">
        <f t="shared" si="30"/>
        <v>45</v>
      </c>
      <c r="F719" s="51" t="s">
        <v>198</v>
      </c>
      <c r="G719" s="51" t="s">
        <v>639</v>
      </c>
      <c r="H719" s="51"/>
      <c r="I719" s="51"/>
    </row>
    <row r="720" spans="1:9" x14ac:dyDescent="0.25">
      <c r="A720" s="57">
        <v>45869</v>
      </c>
      <c r="B720" s="51" t="s">
        <v>91</v>
      </c>
      <c r="C720" s="58">
        <v>0.65277777777777779</v>
      </c>
      <c r="D720" s="58">
        <v>0.66319444444444442</v>
      </c>
      <c r="E720" s="39">
        <f t="shared" si="30"/>
        <v>14.999999999999947</v>
      </c>
      <c r="F720" s="51" t="s">
        <v>198</v>
      </c>
      <c r="G720" s="51" t="s">
        <v>596</v>
      </c>
      <c r="H720" s="51"/>
      <c r="I720" s="51"/>
    </row>
    <row r="721" spans="1:9" x14ac:dyDescent="0.25">
      <c r="A721" s="57">
        <v>45869</v>
      </c>
      <c r="B721" s="51" t="s">
        <v>91</v>
      </c>
      <c r="C721" s="58">
        <v>0.66319444444444442</v>
      </c>
      <c r="D721" s="58">
        <v>0.67013888888888884</v>
      </c>
      <c r="E721" s="39">
        <f t="shared" si="30"/>
        <v>9.9999999999999645</v>
      </c>
      <c r="F721" s="51" t="s">
        <v>198</v>
      </c>
      <c r="G721" s="51" t="s">
        <v>640</v>
      </c>
      <c r="H721" s="51"/>
      <c r="I721" s="51"/>
    </row>
    <row r="722" spans="1:9" x14ac:dyDescent="0.25">
      <c r="A722" s="57">
        <v>45869</v>
      </c>
      <c r="B722" s="51" t="s">
        <v>91</v>
      </c>
      <c r="C722" s="58">
        <v>0.67013888888888884</v>
      </c>
      <c r="D722" s="58">
        <v>0.70833333333333337</v>
      </c>
      <c r="E722" s="39">
        <f t="shared" si="30"/>
        <v>55.000000000000128</v>
      </c>
      <c r="F722" s="51" t="s">
        <v>198</v>
      </c>
      <c r="G722" s="51" t="s">
        <v>639</v>
      </c>
      <c r="H722" s="51"/>
      <c r="I722" s="51"/>
    </row>
    <row r="723" spans="1:9" x14ac:dyDescent="0.25">
      <c r="A723" s="57">
        <v>45869</v>
      </c>
      <c r="B723" s="51" t="s">
        <v>91</v>
      </c>
      <c r="C723" s="58">
        <v>0.70833333333333337</v>
      </c>
      <c r="D723" s="58">
        <v>0.71875</v>
      </c>
      <c r="E723" s="39">
        <f t="shared" si="30"/>
        <v>14.999999999999947</v>
      </c>
      <c r="F723" s="51" t="s">
        <v>198</v>
      </c>
      <c r="G723" s="51" t="s">
        <v>641</v>
      </c>
      <c r="H723" s="63"/>
      <c r="I723" s="51"/>
    </row>
    <row r="724" spans="1:9" x14ac:dyDescent="0.25">
      <c r="A724" s="57">
        <v>45869</v>
      </c>
      <c r="B724" s="51" t="s">
        <v>91</v>
      </c>
      <c r="C724" s="58">
        <v>0.71875</v>
      </c>
      <c r="D724" s="58">
        <v>0.72916666666666663</v>
      </c>
      <c r="E724" s="39">
        <f t="shared" si="30"/>
        <v>14.999999999999947</v>
      </c>
      <c r="F724" s="51" t="s">
        <v>198</v>
      </c>
      <c r="G724" s="51" t="s">
        <v>560</v>
      </c>
      <c r="H724" s="51"/>
      <c r="I724" s="51"/>
    </row>
    <row r="725" spans="1:9" x14ac:dyDescent="0.25">
      <c r="A725" s="57">
        <v>45869</v>
      </c>
      <c r="B725" s="51" t="s">
        <v>91</v>
      </c>
      <c r="C725" s="58">
        <v>0.72916666666666663</v>
      </c>
      <c r="D725" s="58">
        <v>0.74305555555555558</v>
      </c>
      <c r="E725" s="39">
        <f t="shared" si="30"/>
        <v>20.000000000000089</v>
      </c>
      <c r="F725" s="51" t="s">
        <v>198</v>
      </c>
      <c r="G725" s="51" t="s">
        <v>642</v>
      </c>
      <c r="H725" s="51"/>
      <c r="I725" s="51"/>
    </row>
    <row r="726" spans="1:9" x14ac:dyDescent="0.25">
      <c r="A726" s="57">
        <v>45869</v>
      </c>
      <c r="B726" s="51" t="s">
        <v>91</v>
      </c>
      <c r="C726" s="58">
        <v>0.74305555555555558</v>
      </c>
      <c r="D726" s="58">
        <v>0.76736111111111116</v>
      </c>
      <c r="E726" s="39">
        <f t="shared" si="30"/>
        <v>35.000000000000036</v>
      </c>
      <c r="F726" s="51" t="s">
        <v>198</v>
      </c>
      <c r="G726" s="51" t="s">
        <v>643</v>
      </c>
      <c r="H726" s="63"/>
      <c r="I726" s="51"/>
    </row>
    <row r="727" spans="1:9" x14ac:dyDescent="0.25">
      <c r="A727" s="57">
        <v>45869</v>
      </c>
      <c r="B727" s="51" t="s">
        <v>91</v>
      </c>
      <c r="C727" s="58">
        <v>0.76736111111111116</v>
      </c>
      <c r="D727" s="58">
        <v>0.80208333333333337</v>
      </c>
      <c r="E727" s="39">
        <f t="shared" si="30"/>
        <v>49.999999999999986</v>
      </c>
      <c r="F727" s="51" t="s">
        <v>198</v>
      </c>
      <c r="G727" s="51" t="s">
        <v>639</v>
      </c>
      <c r="H727" s="51"/>
      <c r="I727" s="51"/>
    </row>
    <row r="728" spans="1:9" x14ac:dyDescent="0.25">
      <c r="A728" s="57">
        <v>45869</v>
      </c>
      <c r="B728" s="51" t="s">
        <v>91</v>
      </c>
      <c r="C728" s="58">
        <v>0.80208333333333337</v>
      </c>
      <c r="D728" s="58">
        <v>0.83680555555555558</v>
      </c>
      <c r="E728" s="39">
        <f t="shared" si="30"/>
        <v>49.999999999999986</v>
      </c>
      <c r="F728" s="51" t="s">
        <v>198</v>
      </c>
      <c r="G728" s="51" t="s">
        <v>220</v>
      </c>
      <c r="H728" s="51"/>
      <c r="I728" s="51"/>
    </row>
    <row r="729" spans="1:9" x14ac:dyDescent="0.25">
      <c r="A729" s="57">
        <v>45869</v>
      </c>
      <c r="B729" s="51" t="s">
        <v>91</v>
      </c>
      <c r="C729" s="58">
        <v>0.83680555555555558</v>
      </c>
      <c r="D729" s="58">
        <v>0.86458333333333337</v>
      </c>
      <c r="E729" s="39">
        <f t="shared" si="30"/>
        <v>40.000000000000014</v>
      </c>
      <c r="F729" s="51" t="s">
        <v>198</v>
      </c>
      <c r="G729" s="51" t="s">
        <v>644</v>
      </c>
      <c r="H729" s="51"/>
      <c r="I729" s="51"/>
    </row>
    <row r="730" spans="1:9" x14ac:dyDescent="0.25">
      <c r="A730" s="57">
        <v>45869</v>
      </c>
      <c r="B730" s="51" t="s">
        <v>91</v>
      </c>
      <c r="C730" s="58">
        <v>0.86458333333333337</v>
      </c>
      <c r="D730" s="58">
        <v>0.87152777777777779</v>
      </c>
      <c r="E730" s="39">
        <f t="shared" si="30"/>
        <v>9.9999999999999645</v>
      </c>
      <c r="F730" s="51" t="s">
        <v>198</v>
      </c>
      <c r="G730" s="51" t="s">
        <v>632</v>
      </c>
      <c r="H730" s="51"/>
      <c r="I730" s="51"/>
    </row>
    <row r="731" spans="1:9" x14ac:dyDescent="0.25">
      <c r="A731" s="57">
        <v>45869</v>
      </c>
      <c r="B731" s="51" t="s">
        <v>91</v>
      </c>
      <c r="C731" s="58">
        <v>0.87152777777777779</v>
      </c>
      <c r="D731" s="58">
        <v>0.91666666666666663</v>
      </c>
      <c r="E731" s="39">
        <f t="shared" si="30"/>
        <v>64.999999999999929</v>
      </c>
      <c r="F731" s="51" t="s">
        <v>198</v>
      </c>
      <c r="G731" s="51" t="s">
        <v>639</v>
      </c>
      <c r="H731" s="51"/>
      <c r="I731" s="51"/>
    </row>
    <row r="732" spans="1:9" x14ac:dyDescent="0.25">
      <c r="A732" s="57">
        <v>45869</v>
      </c>
      <c r="B732" s="51" t="s">
        <v>91</v>
      </c>
      <c r="C732" s="58">
        <v>0.91666666666666663</v>
      </c>
      <c r="D732" s="58">
        <v>0.92361111111111116</v>
      </c>
      <c r="E732" s="39">
        <f t="shared" si="30"/>
        <v>10.000000000000124</v>
      </c>
      <c r="F732" s="51" t="s">
        <v>198</v>
      </c>
      <c r="G732" s="51" t="s">
        <v>635</v>
      </c>
      <c r="H732" s="51"/>
      <c r="I732" s="51"/>
    </row>
    <row r="733" spans="1:9" x14ac:dyDescent="0.25">
      <c r="A733" s="35"/>
      <c r="B733" s="53"/>
      <c r="C733" s="35"/>
      <c r="D733" s="35"/>
      <c r="E733" s="35"/>
      <c r="F733" s="53"/>
      <c r="G733" s="35"/>
      <c r="H733" s="35"/>
      <c r="I733" s="35"/>
    </row>
    <row r="734" spans="1:9" x14ac:dyDescent="0.25">
      <c r="A734" s="19" t="s">
        <v>1</v>
      </c>
      <c r="B734" s="19" t="s">
        <v>2</v>
      </c>
      <c r="C734" s="69" t="s">
        <v>3</v>
      </c>
      <c r="D734" s="55"/>
      <c r="E734" s="22" t="s">
        <v>4</v>
      </c>
      <c r="F734" s="19" t="s">
        <v>5</v>
      </c>
      <c r="G734" s="19" t="s">
        <v>6</v>
      </c>
      <c r="H734" s="19" t="s">
        <v>7</v>
      </c>
      <c r="I734" s="19" t="s">
        <v>8</v>
      </c>
    </row>
    <row r="735" spans="1:9" x14ac:dyDescent="0.25">
      <c r="A735" s="56"/>
      <c r="B735" s="56"/>
      <c r="C735" s="51" t="s">
        <v>9</v>
      </c>
      <c r="D735" s="51" t="s">
        <v>10</v>
      </c>
      <c r="E735" s="70"/>
      <c r="F735" s="56"/>
      <c r="G735" s="56"/>
      <c r="H735" s="56"/>
      <c r="I735" s="56"/>
    </row>
    <row r="736" spans="1:9" x14ac:dyDescent="0.25">
      <c r="A736" s="57">
        <v>45870</v>
      </c>
      <c r="B736" s="51" t="s">
        <v>289</v>
      </c>
      <c r="C736" s="58">
        <v>0.4201388888888889</v>
      </c>
      <c r="D736" s="58">
        <v>0.42708333333333331</v>
      </c>
      <c r="E736" s="39">
        <f t="shared" ref="E736:E768" si="31">(D736-C736)*1440</f>
        <v>9.9999999999999645</v>
      </c>
      <c r="F736" s="51" t="s">
        <v>198</v>
      </c>
      <c r="G736" s="51" t="s">
        <v>397</v>
      </c>
      <c r="H736" s="63"/>
      <c r="I736" s="51"/>
    </row>
    <row r="737" spans="1:9" x14ac:dyDescent="0.25">
      <c r="A737" s="57">
        <v>45870</v>
      </c>
      <c r="B737" s="51" t="s">
        <v>289</v>
      </c>
      <c r="C737" s="58">
        <v>0.42708333333333331</v>
      </c>
      <c r="D737" s="58">
        <v>0.4375</v>
      </c>
      <c r="E737" s="39">
        <f t="shared" si="31"/>
        <v>15.000000000000027</v>
      </c>
      <c r="F737" s="51" t="s">
        <v>198</v>
      </c>
      <c r="G737" s="51" t="s">
        <v>218</v>
      </c>
      <c r="H737" s="51"/>
      <c r="I737" s="51"/>
    </row>
    <row r="738" spans="1:9" x14ac:dyDescent="0.25">
      <c r="A738" s="57">
        <v>45870</v>
      </c>
      <c r="B738" s="51" t="s">
        <v>289</v>
      </c>
      <c r="C738" s="58">
        <v>0.4375</v>
      </c>
      <c r="D738" s="58">
        <v>0.4513888888888889</v>
      </c>
      <c r="E738" s="39">
        <f t="shared" si="31"/>
        <v>20.000000000000007</v>
      </c>
      <c r="F738" s="51" t="s">
        <v>198</v>
      </c>
      <c r="G738" s="51" t="s">
        <v>594</v>
      </c>
      <c r="H738" s="63"/>
      <c r="I738" s="51"/>
    </row>
    <row r="739" spans="1:9" x14ac:dyDescent="0.25">
      <c r="A739" s="57">
        <v>45870</v>
      </c>
      <c r="B739" s="51" t="s">
        <v>289</v>
      </c>
      <c r="C739" s="58">
        <v>0.4513888888888889</v>
      </c>
      <c r="D739" s="58">
        <v>0.47916666666666669</v>
      </c>
      <c r="E739" s="39">
        <f t="shared" si="31"/>
        <v>40.000000000000014</v>
      </c>
      <c r="F739" s="51" t="s">
        <v>198</v>
      </c>
      <c r="G739" s="51" t="s">
        <v>645</v>
      </c>
      <c r="H739" s="51"/>
      <c r="I739" s="51"/>
    </row>
    <row r="740" spans="1:9" x14ac:dyDescent="0.25">
      <c r="A740" s="57">
        <v>45870</v>
      </c>
      <c r="B740" s="51" t="s">
        <v>289</v>
      </c>
      <c r="C740" s="58">
        <v>0.47916666666666669</v>
      </c>
      <c r="D740" s="58">
        <v>0.52083333333333337</v>
      </c>
      <c r="E740" s="39">
        <f t="shared" si="31"/>
        <v>60.000000000000028</v>
      </c>
      <c r="F740" s="51" t="s">
        <v>198</v>
      </c>
      <c r="G740" s="51" t="s">
        <v>225</v>
      </c>
      <c r="H740" s="51"/>
      <c r="I740" s="51"/>
    </row>
    <row r="741" spans="1:9" x14ac:dyDescent="0.25">
      <c r="A741" s="57">
        <v>45870</v>
      </c>
      <c r="B741" s="51" t="s">
        <v>289</v>
      </c>
      <c r="C741" s="58">
        <v>0.52083333333333337</v>
      </c>
      <c r="D741" s="58">
        <v>0.53125</v>
      </c>
      <c r="E741" s="39">
        <f t="shared" si="31"/>
        <v>14.999999999999947</v>
      </c>
      <c r="F741" s="51" t="s">
        <v>198</v>
      </c>
      <c r="G741" s="51" t="s">
        <v>637</v>
      </c>
      <c r="H741" s="63"/>
      <c r="I741" s="51"/>
    </row>
    <row r="742" spans="1:9" x14ac:dyDescent="0.25">
      <c r="A742" s="57">
        <v>45870</v>
      </c>
      <c r="B742" s="51" t="s">
        <v>289</v>
      </c>
      <c r="C742" s="58">
        <v>0.53125</v>
      </c>
      <c r="D742" s="58">
        <v>0.64583333333333337</v>
      </c>
      <c r="E742" s="39">
        <f t="shared" si="31"/>
        <v>165.00000000000006</v>
      </c>
      <c r="F742" s="51" t="s">
        <v>198</v>
      </c>
      <c r="G742" s="51" t="s">
        <v>646</v>
      </c>
      <c r="H742" s="51"/>
      <c r="I742" s="51"/>
    </row>
    <row r="743" spans="1:9" x14ac:dyDescent="0.25">
      <c r="A743" s="57">
        <v>45870</v>
      </c>
      <c r="B743" s="51" t="s">
        <v>289</v>
      </c>
      <c r="C743" s="58">
        <v>0.64583333333333337</v>
      </c>
      <c r="D743" s="58">
        <v>0.75</v>
      </c>
      <c r="E743" s="39">
        <f t="shared" si="31"/>
        <v>149.99999999999994</v>
      </c>
      <c r="F743" s="51" t="s">
        <v>198</v>
      </c>
      <c r="G743" s="51" t="s">
        <v>647</v>
      </c>
      <c r="H743" s="51"/>
      <c r="I743" s="51"/>
    </row>
    <row r="744" spans="1:9" x14ac:dyDescent="0.25">
      <c r="A744" s="57">
        <v>45870</v>
      </c>
      <c r="B744" s="51" t="s">
        <v>289</v>
      </c>
      <c r="C744" s="58">
        <v>0.75</v>
      </c>
      <c r="D744" s="58">
        <v>0.77083333333333337</v>
      </c>
      <c r="E744" s="39">
        <f t="shared" si="31"/>
        <v>30.000000000000053</v>
      </c>
      <c r="F744" s="51" t="s">
        <v>198</v>
      </c>
      <c r="G744" s="51" t="s">
        <v>648</v>
      </c>
      <c r="H744" s="51"/>
      <c r="I744" s="51"/>
    </row>
    <row r="745" spans="1:9" x14ac:dyDescent="0.25">
      <c r="A745" s="57">
        <v>45870</v>
      </c>
      <c r="B745" s="51" t="s">
        <v>289</v>
      </c>
      <c r="C745" s="58">
        <v>0.77083333333333337</v>
      </c>
      <c r="D745" s="58">
        <v>0.79166666666666663</v>
      </c>
      <c r="E745" s="39">
        <f t="shared" si="31"/>
        <v>29.999999999999893</v>
      </c>
      <c r="F745" s="51" t="s">
        <v>198</v>
      </c>
      <c r="G745" s="51" t="s">
        <v>649</v>
      </c>
      <c r="H745" s="63"/>
      <c r="I745" s="51"/>
    </row>
    <row r="746" spans="1:9" x14ac:dyDescent="0.25">
      <c r="A746" s="57">
        <v>45870</v>
      </c>
      <c r="B746" s="51" t="s">
        <v>289</v>
      </c>
      <c r="C746" s="58"/>
      <c r="D746" s="58"/>
      <c r="E746" s="39">
        <f t="shared" si="31"/>
        <v>0</v>
      </c>
      <c r="F746" s="51" t="s">
        <v>198</v>
      </c>
      <c r="G746" s="51" t="s">
        <v>650</v>
      </c>
      <c r="H746" s="51"/>
      <c r="I746" s="51"/>
    </row>
    <row r="747" spans="1:9" x14ac:dyDescent="0.25">
      <c r="A747" s="57">
        <v>45870</v>
      </c>
      <c r="B747" s="51" t="s">
        <v>289</v>
      </c>
      <c r="C747" s="58"/>
      <c r="D747" s="58"/>
      <c r="E747" s="39">
        <f t="shared" si="31"/>
        <v>0</v>
      </c>
      <c r="F747" s="51" t="s">
        <v>198</v>
      </c>
      <c r="G747" s="51" t="s">
        <v>651</v>
      </c>
      <c r="H747" s="51"/>
      <c r="I747" s="51"/>
    </row>
    <row r="748" spans="1:9" x14ac:dyDescent="0.25">
      <c r="A748" s="35"/>
      <c r="B748" s="53"/>
      <c r="C748" s="35"/>
      <c r="D748" s="35"/>
      <c r="E748" s="35"/>
      <c r="F748" s="53"/>
      <c r="G748" s="35"/>
      <c r="H748" s="35"/>
      <c r="I748" s="35"/>
    </row>
    <row r="749" spans="1:9" x14ac:dyDescent="0.25">
      <c r="A749" s="19" t="s">
        <v>1</v>
      </c>
      <c r="B749" s="19" t="s">
        <v>2</v>
      </c>
      <c r="C749" s="69" t="s">
        <v>3</v>
      </c>
      <c r="D749" s="55"/>
      <c r="E749" s="22" t="s">
        <v>4</v>
      </c>
      <c r="F749" s="19" t="s">
        <v>5</v>
      </c>
      <c r="G749" s="19" t="s">
        <v>6</v>
      </c>
      <c r="H749" s="19" t="s">
        <v>7</v>
      </c>
      <c r="I749" s="19" t="s">
        <v>8</v>
      </c>
    </row>
    <row r="750" spans="1:9" x14ac:dyDescent="0.25">
      <c r="A750" s="56"/>
      <c r="B750" s="56"/>
      <c r="C750" s="51" t="s">
        <v>9</v>
      </c>
      <c r="D750" s="51" t="s">
        <v>10</v>
      </c>
      <c r="E750" s="70"/>
      <c r="F750" s="56"/>
      <c r="G750" s="56"/>
      <c r="H750" s="56"/>
      <c r="I750" s="56"/>
    </row>
    <row r="751" spans="1:9" x14ac:dyDescent="0.25">
      <c r="A751" s="57">
        <v>45871</v>
      </c>
      <c r="B751" s="51" t="s">
        <v>311</v>
      </c>
      <c r="C751" s="58">
        <v>0.47916666666666669</v>
      </c>
      <c r="D751" s="58">
        <v>0.4861111111111111</v>
      </c>
      <c r="E751" s="39">
        <f t="shared" ref="E751:E753" si="32">(D751-C751)*1440</f>
        <v>9.9999999999999645</v>
      </c>
      <c r="F751" s="51" t="s">
        <v>198</v>
      </c>
      <c r="G751" s="51" t="s">
        <v>397</v>
      </c>
      <c r="H751" s="63"/>
      <c r="I751" s="51"/>
    </row>
    <row r="752" spans="1:9" x14ac:dyDescent="0.25">
      <c r="A752" s="57">
        <v>45871</v>
      </c>
      <c r="B752" s="51" t="s">
        <v>311</v>
      </c>
      <c r="C752" s="58">
        <v>0.4861111111111111</v>
      </c>
      <c r="D752" s="58">
        <v>0.49652777777777779</v>
      </c>
      <c r="E752" s="39">
        <f t="shared" si="32"/>
        <v>15.000000000000027</v>
      </c>
      <c r="F752" s="51" t="s">
        <v>198</v>
      </c>
      <c r="G752" s="51" t="s">
        <v>218</v>
      </c>
      <c r="H752" s="51"/>
      <c r="I752" s="51"/>
    </row>
    <row r="753" spans="1:9" x14ac:dyDescent="0.25">
      <c r="A753" s="57">
        <v>45871</v>
      </c>
      <c r="B753" s="51" t="s">
        <v>311</v>
      </c>
      <c r="C753" s="58">
        <v>0.49652777777777779</v>
      </c>
      <c r="D753" s="58">
        <v>0.51388888888888884</v>
      </c>
      <c r="E753" s="39">
        <f t="shared" si="32"/>
        <v>24.999999999999911</v>
      </c>
      <c r="F753" s="51" t="s">
        <v>198</v>
      </c>
      <c r="G753" s="51" t="s">
        <v>652</v>
      </c>
      <c r="H753" s="51"/>
      <c r="I753" s="51"/>
    </row>
    <row r="754" spans="1:9" x14ac:dyDescent="0.25">
      <c r="A754" s="57">
        <v>45871</v>
      </c>
      <c r="B754" s="51" t="s">
        <v>311</v>
      </c>
      <c r="C754" s="58">
        <v>0.51388888888888884</v>
      </c>
      <c r="D754" s="58">
        <v>0.625</v>
      </c>
      <c r="E754" s="39">
        <f t="shared" si="31"/>
        <v>160.00000000000006</v>
      </c>
      <c r="F754" s="51" t="s">
        <v>198</v>
      </c>
      <c r="G754" s="51" t="s">
        <v>653</v>
      </c>
      <c r="H754" s="51"/>
      <c r="I754" s="51"/>
    </row>
    <row r="755" spans="1:9" x14ac:dyDescent="0.25">
      <c r="A755" s="57">
        <v>45871</v>
      </c>
      <c r="B755" s="51" t="s">
        <v>311</v>
      </c>
      <c r="C755" s="58">
        <v>0.625</v>
      </c>
      <c r="D755" s="58">
        <v>0.64583333333333337</v>
      </c>
      <c r="E755" s="39">
        <f t="shared" si="31"/>
        <v>30.000000000000053</v>
      </c>
      <c r="F755" s="51" t="s">
        <v>198</v>
      </c>
      <c r="G755" s="51" t="s">
        <v>225</v>
      </c>
      <c r="H755" s="51"/>
      <c r="I755" s="51"/>
    </row>
    <row r="756" spans="1:9" x14ac:dyDescent="0.25">
      <c r="A756" s="57">
        <v>45871</v>
      </c>
      <c r="B756" s="51" t="s">
        <v>311</v>
      </c>
      <c r="C756" s="58">
        <v>0.64583333333333337</v>
      </c>
      <c r="D756" s="58">
        <v>0.70833333333333337</v>
      </c>
      <c r="E756" s="39">
        <f t="shared" si="31"/>
        <v>90</v>
      </c>
      <c r="F756" s="51" t="s">
        <v>198</v>
      </c>
      <c r="G756" s="51" t="s">
        <v>653</v>
      </c>
      <c r="H756" s="51"/>
      <c r="I756" s="51"/>
    </row>
    <row r="757" spans="1:9" x14ac:dyDescent="0.25">
      <c r="A757" s="57">
        <v>45871</v>
      </c>
      <c r="B757" s="51" t="s">
        <v>311</v>
      </c>
      <c r="C757" s="58">
        <v>0.70833333333333337</v>
      </c>
      <c r="D757" s="58">
        <v>0.71875</v>
      </c>
      <c r="E757" s="39">
        <f t="shared" si="31"/>
        <v>14.999999999999947</v>
      </c>
      <c r="F757" s="51" t="s">
        <v>198</v>
      </c>
      <c r="G757" s="51" t="s">
        <v>438</v>
      </c>
      <c r="H757" s="51"/>
      <c r="I757" s="51"/>
    </row>
    <row r="758" spans="1:9" x14ac:dyDescent="0.25">
      <c r="A758" s="57">
        <v>45871</v>
      </c>
      <c r="B758" s="51" t="s">
        <v>311</v>
      </c>
      <c r="C758" s="58">
        <v>0.71875</v>
      </c>
      <c r="D758" s="58">
        <v>0.79166666666666663</v>
      </c>
      <c r="E758" s="39">
        <f t="shared" si="31"/>
        <v>104.99999999999994</v>
      </c>
      <c r="F758" s="51" t="s">
        <v>198</v>
      </c>
      <c r="G758" s="51" t="s">
        <v>653</v>
      </c>
      <c r="H758" s="51"/>
      <c r="I758" s="51"/>
    </row>
    <row r="759" spans="1:9" x14ac:dyDescent="0.25">
      <c r="A759" s="57">
        <v>45871</v>
      </c>
      <c r="B759" s="51" t="s">
        <v>311</v>
      </c>
      <c r="C759" s="58">
        <v>0.79166666666666663</v>
      </c>
      <c r="D759" s="58">
        <v>0.8125</v>
      </c>
      <c r="E759" s="39">
        <f t="shared" si="31"/>
        <v>30.000000000000053</v>
      </c>
      <c r="F759" s="51" t="s">
        <v>198</v>
      </c>
      <c r="G759" s="51" t="s">
        <v>654</v>
      </c>
      <c r="H759" s="63"/>
      <c r="I759" s="51"/>
    </row>
    <row r="760" spans="1:9" x14ac:dyDescent="0.25">
      <c r="A760" s="57">
        <v>45871</v>
      </c>
      <c r="B760" s="51" t="s">
        <v>311</v>
      </c>
      <c r="C760" s="58"/>
      <c r="D760" s="58"/>
      <c r="E760" s="39">
        <f t="shared" si="31"/>
        <v>0</v>
      </c>
      <c r="F760" s="51" t="s">
        <v>198</v>
      </c>
      <c r="G760" s="51"/>
      <c r="H760" s="51"/>
      <c r="I760" s="51"/>
    </row>
    <row r="761" spans="1:9" x14ac:dyDescent="0.25">
      <c r="A761" s="57">
        <v>45871</v>
      </c>
      <c r="B761" s="51" t="s">
        <v>311</v>
      </c>
      <c r="C761" s="58"/>
      <c r="D761" s="58"/>
      <c r="E761" s="39">
        <f t="shared" si="31"/>
        <v>0</v>
      </c>
      <c r="F761" s="51" t="s">
        <v>198</v>
      </c>
      <c r="G761" s="51"/>
      <c r="H761" s="51"/>
      <c r="I761" s="51"/>
    </row>
    <row r="762" spans="1:9" x14ac:dyDescent="0.25">
      <c r="A762" s="57">
        <v>45871</v>
      </c>
      <c r="B762" s="51" t="s">
        <v>311</v>
      </c>
      <c r="C762" s="58"/>
      <c r="D762" s="58"/>
      <c r="E762" s="39">
        <f t="shared" si="31"/>
        <v>0</v>
      </c>
      <c r="F762" s="51" t="s">
        <v>198</v>
      </c>
      <c r="G762" s="51"/>
      <c r="H762" s="63"/>
      <c r="I762" s="51"/>
    </row>
    <row r="763" spans="1:9" x14ac:dyDescent="0.25">
      <c r="A763" s="57">
        <v>45871</v>
      </c>
      <c r="B763" s="51" t="s">
        <v>311</v>
      </c>
      <c r="C763" s="58"/>
      <c r="D763" s="58"/>
      <c r="E763" s="39">
        <f t="shared" si="31"/>
        <v>0</v>
      </c>
      <c r="F763" s="51" t="s">
        <v>198</v>
      </c>
      <c r="G763" s="51"/>
      <c r="H763" s="51"/>
      <c r="I763" s="51"/>
    </row>
    <row r="764" spans="1:9" x14ac:dyDescent="0.25">
      <c r="A764" s="57">
        <v>45871</v>
      </c>
      <c r="B764" s="51" t="s">
        <v>311</v>
      </c>
      <c r="C764" s="58"/>
      <c r="D764" s="58"/>
      <c r="E764" s="39">
        <f t="shared" si="31"/>
        <v>0</v>
      </c>
      <c r="F764" s="51" t="s">
        <v>198</v>
      </c>
      <c r="G764" s="51"/>
      <c r="H764" s="51"/>
      <c r="I764" s="51"/>
    </row>
    <row r="765" spans="1:9" x14ac:dyDescent="0.25">
      <c r="A765" s="57">
        <v>45871</v>
      </c>
      <c r="B765" s="51" t="s">
        <v>311</v>
      </c>
      <c r="C765" s="58"/>
      <c r="D765" s="58"/>
      <c r="E765" s="39">
        <f t="shared" si="31"/>
        <v>0</v>
      </c>
      <c r="F765" s="51" t="s">
        <v>198</v>
      </c>
      <c r="G765" s="51"/>
      <c r="H765" s="51"/>
      <c r="I765" s="51"/>
    </row>
    <row r="766" spans="1:9" x14ac:dyDescent="0.25">
      <c r="A766" s="57">
        <v>45871</v>
      </c>
      <c r="B766" s="51" t="s">
        <v>311</v>
      </c>
      <c r="C766" s="58"/>
      <c r="D766" s="58"/>
      <c r="E766" s="39">
        <f t="shared" si="31"/>
        <v>0</v>
      </c>
      <c r="F766" s="51" t="s">
        <v>198</v>
      </c>
      <c r="G766" s="51"/>
      <c r="H766" s="51"/>
      <c r="I766" s="51"/>
    </row>
    <row r="767" spans="1:9" x14ac:dyDescent="0.25">
      <c r="A767" s="57">
        <v>45871</v>
      </c>
      <c r="B767" s="51" t="s">
        <v>311</v>
      </c>
      <c r="C767" s="58"/>
      <c r="D767" s="58"/>
      <c r="E767" s="39">
        <f t="shared" si="31"/>
        <v>0</v>
      </c>
      <c r="F767" s="51" t="s">
        <v>198</v>
      </c>
      <c r="G767" s="51"/>
      <c r="H767" s="51"/>
      <c r="I767" s="51"/>
    </row>
    <row r="768" spans="1:9" x14ac:dyDescent="0.25">
      <c r="A768" s="57">
        <v>45871</v>
      </c>
      <c r="B768" s="51" t="s">
        <v>311</v>
      </c>
      <c r="C768" s="58"/>
      <c r="D768" s="58"/>
      <c r="E768" s="39">
        <f t="shared" si="31"/>
        <v>0</v>
      </c>
      <c r="F768" s="51" t="s">
        <v>198</v>
      </c>
      <c r="G768" s="51"/>
      <c r="H768" s="51"/>
      <c r="I768" s="51"/>
    </row>
    <row r="769" spans="1:9" s="67" customFormat="1" ht="35.4" x14ac:dyDescent="0.6">
      <c r="A769" s="64" t="s">
        <v>329</v>
      </c>
      <c r="B769" s="65"/>
      <c r="C769" s="65"/>
      <c r="D769" s="65"/>
      <c r="E769" s="65"/>
      <c r="F769" s="65"/>
      <c r="G769" s="65"/>
      <c r="H769" s="65"/>
      <c r="I769" s="66"/>
    </row>
    <row r="770" spans="1:9" x14ac:dyDescent="0.25">
      <c r="A770" s="35"/>
      <c r="B770" s="53"/>
      <c r="C770" s="35"/>
      <c r="D770" s="35"/>
      <c r="E770" s="35"/>
      <c r="F770" s="53"/>
      <c r="G770" s="35"/>
      <c r="H770" s="35"/>
      <c r="I770" s="35"/>
    </row>
    <row r="771" spans="1:9" x14ac:dyDescent="0.25">
      <c r="A771" s="19" t="s">
        <v>1</v>
      </c>
      <c r="B771" s="19" t="s">
        <v>2</v>
      </c>
      <c r="C771" s="69" t="s">
        <v>3</v>
      </c>
      <c r="D771" s="55"/>
      <c r="E771" s="22" t="s">
        <v>4</v>
      </c>
      <c r="F771" s="19" t="s">
        <v>5</v>
      </c>
      <c r="G771" s="19" t="s">
        <v>6</v>
      </c>
      <c r="H771" s="19" t="s">
        <v>7</v>
      </c>
      <c r="I771" s="19" t="s">
        <v>8</v>
      </c>
    </row>
    <row r="772" spans="1:9" x14ac:dyDescent="0.25">
      <c r="A772" s="56"/>
      <c r="B772" s="56"/>
      <c r="C772" s="51" t="s">
        <v>9</v>
      </c>
      <c r="D772" s="51" t="s">
        <v>10</v>
      </c>
      <c r="E772" s="70"/>
      <c r="F772" s="56"/>
      <c r="G772" s="56"/>
      <c r="H772" s="56"/>
      <c r="I772" s="56"/>
    </row>
    <row r="773" spans="1:9" x14ac:dyDescent="0.25">
      <c r="A773" s="57">
        <v>45874</v>
      </c>
      <c r="B773" s="51" t="s">
        <v>12</v>
      </c>
      <c r="C773" s="58">
        <v>0.41666666666666669</v>
      </c>
      <c r="D773" s="58">
        <v>0.4236111111111111</v>
      </c>
      <c r="E773" s="39">
        <f t="shared" ref="E773:E794" si="33">(D773-C773)*1440</f>
        <v>9.9999999999999645</v>
      </c>
      <c r="F773" s="51" t="s">
        <v>198</v>
      </c>
      <c r="G773" s="51" t="s">
        <v>397</v>
      </c>
      <c r="H773" s="63"/>
      <c r="I773" s="51"/>
    </row>
    <row r="774" spans="1:9" x14ac:dyDescent="0.25">
      <c r="A774" s="57">
        <v>45874</v>
      </c>
      <c r="B774" s="51" t="s">
        <v>12</v>
      </c>
      <c r="C774" s="58">
        <v>0.4236111111111111</v>
      </c>
      <c r="D774" s="58">
        <v>0.43402777777777779</v>
      </c>
      <c r="E774" s="39">
        <f t="shared" si="33"/>
        <v>15.000000000000027</v>
      </c>
      <c r="F774" s="51" t="s">
        <v>198</v>
      </c>
      <c r="G774" s="51" t="s">
        <v>218</v>
      </c>
      <c r="H774" s="51"/>
      <c r="I774" s="51"/>
    </row>
    <row r="775" spans="1:9" x14ac:dyDescent="0.25">
      <c r="A775" s="57">
        <v>45874</v>
      </c>
      <c r="B775" s="51" t="s">
        <v>12</v>
      </c>
      <c r="C775" s="58">
        <v>0.43402777777777779</v>
      </c>
      <c r="D775" s="58">
        <v>0.44097222222222221</v>
      </c>
      <c r="E775" s="39">
        <f t="shared" si="33"/>
        <v>9.9999999999999645</v>
      </c>
      <c r="F775" s="51" t="s">
        <v>198</v>
      </c>
      <c r="G775" s="51" t="s">
        <v>655</v>
      </c>
      <c r="H775" s="51"/>
      <c r="I775" s="51"/>
    </row>
    <row r="776" spans="1:9" x14ac:dyDescent="0.25">
      <c r="A776" s="57">
        <v>45874</v>
      </c>
      <c r="B776" s="51" t="s">
        <v>12</v>
      </c>
      <c r="C776" s="58">
        <v>0.44097222222222221</v>
      </c>
      <c r="D776" s="58">
        <v>0.4513888888888889</v>
      </c>
      <c r="E776" s="39">
        <f t="shared" si="33"/>
        <v>15.000000000000027</v>
      </c>
      <c r="F776" s="51" t="s">
        <v>198</v>
      </c>
      <c r="G776" s="51" t="s">
        <v>591</v>
      </c>
      <c r="H776" s="51"/>
      <c r="I776" s="51"/>
    </row>
    <row r="777" spans="1:9" x14ac:dyDescent="0.25">
      <c r="A777" s="57">
        <v>45874</v>
      </c>
      <c r="B777" s="51" t="s">
        <v>12</v>
      </c>
      <c r="C777" s="58">
        <v>0.4513888888888889</v>
      </c>
      <c r="D777" s="58">
        <v>0.46180555555555558</v>
      </c>
      <c r="E777" s="39">
        <f t="shared" si="33"/>
        <v>15.000000000000027</v>
      </c>
      <c r="F777" s="51" t="s">
        <v>198</v>
      </c>
      <c r="G777" s="51" t="s">
        <v>593</v>
      </c>
      <c r="H777" s="51"/>
      <c r="I777" s="51"/>
    </row>
    <row r="778" spans="1:9" x14ac:dyDescent="0.25">
      <c r="A778" s="57">
        <v>45874</v>
      </c>
      <c r="B778" s="51" t="s">
        <v>12</v>
      </c>
      <c r="C778" s="58">
        <v>0.46180555555555558</v>
      </c>
      <c r="D778" s="58">
        <v>0.49305555555555558</v>
      </c>
      <c r="E778" s="39">
        <f t="shared" si="33"/>
        <v>45</v>
      </c>
      <c r="F778" s="51" t="s">
        <v>198</v>
      </c>
      <c r="G778" s="51" t="s">
        <v>656</v>
      </c>
      <c r="H778" s="51"/>
      <c r="I778" s="51"/>
    </row>
    <row r="779" spans="1:9" x14ac:dyDescent="0.25">
      <c r="A779" s="57">
        <v>45874</v>
      </c>
      <c r="B779" s="51" t="s">
        <v>12</v>
      </c>
      <c r="C779" s="58">
        <v>0.49305555555555558</v>
      </c>
      <c r="D779" s="58">
        <v>0.50347222222222221</v>
      </c>
      <c r="E779" s="39">
        <f t="shared" si="33"/>
        <v>14.999999999999947</v>
      </c>
      <c r="F779" s="51" t="s">
        <v>198</v>
      </c>
      <c r="G779" s="51" t="s">
        <v>657</v>
      </c>
      <c r="H779" s="51"/>
      <c r="I779" s="51"/>
    </row>
    <row r="780" spans="1:9" x14ac:dyDescent="0.25">
      <c r="A780" s="57">
        <v>45874</v>
      </c>
      <c r="B780" s="51" t="s">
        <v>12</v>
      </c>
      <c r="C780" s="58"/>
      <c r="D780" s="58"/>
      <c r="E780" s="39">
        <f t="shared" si="33"/>
        <v>0</v>
      </c>
      <c r="F780" s="51" t="s">
        <v>198</v>
      </c>
      <c r="G780" s="51" t="s">
        <v>225</v>
      </c>
      <c r="H780" s="51"/>
      <c r="I780" s="51"/>
    </row>
    <row r="781" spans="1:9" x14ac:dyDescent="0.25">
      <c r="A781" s="57">
        <v>45874</v>
      </c>
      <c r="B781" s="51" t="s">
        <v>12</v>
      </c>
      <c r="C781" s="58"/>
      <c r="D781" s="58"/>
      <c r="E781" s="39">
        <f t="shared" si="33"/>
        <v>0</v>
      </c>
      <c r="F781" s="51" t="s">
        <v>198</v>
      </c>
      <c r="G781" s="51"/>
      <c r="H781" s="51"/>
      <c r="I781" s="51"/>
    </row>
    <row r="782" spans="1:9" x14ac:dyDescent="0.25">
      <c r="A782" s="57">
        <v>45874</v>
      </c>
      <c r="B782" s="51" t="s">
        <v>12</v>
      </c>
      <c r="C782" s="58"/>
      <c r="D782" s="58"/>
      <c r="E782" s="39">
        <f t="shared" si="33"/>
        <v>0</v>
      </c>
      <c r="F782" s="51" t="s">
        <v>198</v>
      </c>
      <c r="G782" s="51"/>
      <c r="H782" s="51"/>
      <c r="I782" s="51"/>
    </row>
    <row r="783" spans="1:9" x14ac:dyDescent="0.25">
      <c r="A783" s="57">
        <v>45874</v>
      </c>
      <c r="B783" s="51" t="s">
        <v>12</v>
      </c>
      <c r="C783" s="58"/>
      <c r="D783" s="58"/>
      <c r="E783" s="39">
        <f t="shared" si="33"/>
        <v>0</v>
      </c>
      <c r="F783" s="51" t="s">
        <v>198</v>
      </c>
      <c r="G783" s="51"/>
      <c r="H783" s="51"/>
      <c r="I783" s="51"/>
    </row>
    <row r="784" spans="1:9" x14ac:dyDescent="0.25">
      <c r="A784" s="57">
        <v>45874</v>
      </c>
      <c r="B784" s="51" t="s">
        <v>12</v>
      </c>
      <c r="C784" s="58"/>
      <c r="D784" s="58"/>
      <c r="E784" s="39">
        <f t="shared" si="33"/>
        <v>0</v>
      </c>
      <c r="F784" s="51" t="s">
        <v>198</v>
      </c>
      <c r="G784" s="51"/>
      <c r="H784" s="63"/>
      <c r="I784" s="51"/>
    </row>
    <row r="785" spans="1:9" x14ac:dyDescent="0.25">
      <c r="A785" s="57">
        <v>45874</v>
      </c>
      <c r="B785" s="51" t="s">
        <v>12</v>
      </c>
      <c r="C785" s="58"/>
      <c r="D785" s="58"/>
      <c r="E785" s="39">
        <f t="shared" si="33"/>
        <v>0</v>
      </c>
      <c r="F785" s="51" t="s">
        <v>198</v>
      </c>
      <c r="G785" s="51"/>
      <c r="H785" s="51"/>
      <c r="I785" s="51"/>
    </row>
    <row r="786" spans="1:9" x14ac:dyDescent="0.25">
      <c r="A786" s="57">
        <v>45874</v>
      </c>
      <c r="B786" s="51" t="s">
        <v>12</v>
      </c>
      <c r="C786" s="58"/>
      <c r="D786" s="58"/>
      <c r="E786" s="39">
        <f t="shared" si="33"/>
        <v>0</v>
      </c>
      <c r="F786" s="51" t="s">
        <v>198</v>
      </c>
      <c r="G786" s="51"/>
      <c r="H786" s="51"/>
      <c r="I786" s="51"/>
    </row>
    <row r="787" spans="1:9" x14ac:dyDescent="0.25">
      <c r="A787" s="57">
        <v>45874</v>
      </c>
      <c r="B787" s="51" t="s">
        <v>12</v>
      </c>
      <c r="C787" s="58"/>
      <c r="D787" s="58"/>
      <c r="E787" s="39">
        <f t="shared" si="33"/>
        <v>0</v>
      </c>
      <c r="F787" s="51" t="s">
        <v>198</v>
      </c>
      <c r="G787" s="51"/>
      <c r="H787" s="51"/>
      <c r="I787" s="51"/>
    </row>
    <row r="788" spans="1:9" x14ac:dyDescent="0.25">
      <c r="A788" s="57">
        <v>45874</v>
      </c>
      <c r="B788" s="51" t="s">
        <v>12</v>
      </c>
      <c r="C788" s="58"/>
      <c r="D788" s="58"/>
      <c r="E788" s="39">
        <f t="shared" si="33"/>
        <v>0</v>
      </c>
      <c r="F788" s="51" t="s">
        <v>198</v>
      </c>
      <c r="G788" s="51"/>
      <c r="H788" s="51"/>
      <c r="I788" s="51"/>
    </row>
    <row r="789" spans="1:9" x14ac:dyDescent="0.25">
      <c r="A789" s="57">
        <v>45874</v>
      </c>
      <c r="B789" s="51" t="s">
        <v>12</v>
      </c>
      <c r="C789" s="58"/>
      <c r="D789" s="58"/>
      <c r="E789" s="39">
        <f t="shared" si="33"/>
        <v>0</v>
      </c>
      <c r="F789" s="51" t="s">
        <v>198</v>
      </c>
      <c r="G789" s="51"/>
      <c r="H789" s="51"/>
      <c r="I789" s="51"/>
    </row>
    <row r="790" spans="1:9" x14ac:dyDescent="0.25">
      <c r="A790" s="57">
        <v>45874</v>
      </c>
      <c r="B790" s="51" t="s">
        <v>12</v>
      </c>
      <c r="C790" s="58"/>
      <c r="D790" s="58"/>
      <c r="E790" s="39">
        <f t="shared" si="33"/>
        <v>0</v>
      </c>
      <c r="F790" s="51" t="s">
        <v>198</v>
      </c>
      <c r="G790" s="51"/>
      <c r="H790" s="51"/>
      <c r="I790" s="51"/>
    </row>
    <row r="791" spans="1:9" x14ac:dyDescent="0.25">
      <c r="A791" s="57">
        <v>45874</v>
      </c>
      <c r="B791" s="51" t="s">
        <v>12</v>
      </c>
      <c r="C791" s="58"/>
      <c r="D791" s="58"/>
      <c r="E791" s="39">
        <f t="shared" si="33"/>
        <v>0</v>
      </c>
      <c r="F791" s="51" t="s">
        <v>198</v>
      </c>
      <c r="G791" s="51"/>
      <c r="H791" s="51"/>
      <c r="I791" s="51"/>
    </row>
    <row r="792" spans="1:9" x14ac:dyDescent="0.25">
      <c r="A792" s="57">
        <v>45874</v>
      </c>
      <c r="B792" s="51" t="s">
        <v>12</v>
      </c>
      <c r="C792" s="58"/>
      <c r="D792" s="58"/>
      <c r="E792" s="39">
        <f t="shared" si="33"/>
        <v>0</v>
      </c>
      <c r="F792" s="51" t="s">
        <v>198</v>
      </c>
      <c r="G792" s="51"/>
      <c r="H792" s="51"/>
      <c r="I792" s="51"/>
    </row>
    <row r="793" spans="1:9" x14ac:dyDescent="0.25">
      <c r="A793" s="57">
        <v>45874</v>
      </c>
      <c r="B793" s="51" t="s">
        <v>12</v>
      </c>
      <c r="C793" s="58"/>
      <c r="D793" s="58"/>
      <c r="E793" s="39">
        <f t="shared" si="33"/>
        <v>0</v>
      </c>
      <c r="F793" s="51" t="s">
        <v>198</v>
      </c>
      <c r="G793" s="51"/>
      <c r="H793" s="51"/>
      <c r="I793" s="51"/>
    </row>
    <row r="794" spans="1:9" x14ac:dyDescent="0.25">
      <c r="A794" s="57">
        <v>45874</v>
      </c>
      <c r="B794" s="51" t="s">
        <v>12</v>
      </c>
      <c r="C794" s="58"/>
      <c r="D794" s="58"/>
      <c r="E794" s="39">
        <f t="shared" si="33"/>
        <v>0</v>
      </c>
      <c r="F794" s="51" t="s">
        <v>198</v>
      </c>
      <c r="G794" s="51"/>
      <c r="H794" s="51"/>
      <c r="I794" s="51"/>
    </row>
  </sheetData>
  <mergeCells count="246">
    <mergeCell ref="I771:I772"/>
    <mergeCell ref="H749:H750"/>
    <mergeCell ref="I749:I750"/>
    <mergeCell ref="A769:I769"/>
    <mergeCell ref="A771:A772"/>
    <mergeCell ref="B771:B772"/>
    <mergeCell ref="C771:D771"/>
    <mergeCell ref="E771:E772"/>
    <mergeCell ref="F771:F772"/>
    <mergeCell ref="G771:G772"/>
    <mergeCell ref="H771:H772"/>
    <mergeCell ref="A749:A750"/>
    <mergeCell ref="B749:B750"/>
    <mergeCell ref="C749:D749"/>
    <mergeCell ref="E749:E750"/>
    <mergeCell ref="F749:F750"/>
    <mergeCell ref="G749:G750"/>
    <mergeCell ref="H701:H702"/>
    <mergeCell ref="I701:I702"/>
    <mergeCell ref="A734:A735"/>
    <mergeCell ref="B734:B735"/>
    <mergeCell ref="C734:D734"/>
    <mergeCell ref="E734:E735"/>
    <mergeCell ref="F734:F735"/>
    <mergeCell ref="G734:G735"/>
    <mergeCell ref="H734:H735"/>
    <mergeCell ref="I734:I735"/>
    <mergeCell ref="A701:A702"/>
    <mergeCell ref="B701:B702"/>
    <mergeCell ref="C701:D701"/>
    <mergeCell ref="E701:E702"/>
    <mergeCell ref="F701:F702"/>
    <mergeCell ref="G701:G702"/>
    <mergeCell ref="H621:H622"/>
    <mergeCell ref="I621:I622"/>
    <mergeCell ref="A672:A673"/>
    <mergeCell ref="B672:B673"/>
    <mergeCell ref="C672:D672"/>
    <mergeCell ref="E672:E673"/>
    <mergeCell ref="F672:F673"/>
    <mergeCell ref="G672:G673"/>
    <mergeCell ref="H672:H673"/>
    <mergeCell ref="I672:I673"/>
    <mergeCell ref="A621:A622"/>
    <mergeCell ref="B621:B622"/>
    <mergeCell ref="C621:D621"/>
    <mergeCell ref="E621:E622"/>
    <mergeCell ref="F621:F622"/>
    <mergeCell ref="G621:G622"/>
    <mergeCell ref="A598:I598"/>
    <mergeCell ref="A600:A601"/>
    <mergeCell ref="B600:B601"/>
    <mergeCell ref="C600:D600"/>
    <mergeCell ref="E600:E601"/>
    <mergeCell ref="F600:F601"/>
    <mergeCell ref="G600:G601"/>
    <mergeCell ref="H600:H601"/>
    <mergeCell ref="I600:I601"/>
    <mergeCell ref="H537:H538"/>
    <mergeCell ref="I537:I538"/>
    <mergeCell ref="A568:A569"/>
    <mergeCell ref="B568:B569"/>
    <mergeCell ref="C568:D568"/>
    <mergeCell ref="E568:E569"/>
    <mergeCell ref="F568:F569"/>
    <mergeCell ref="G568:G569"/>
    <mergeCell ref="H568:H569"/>
    <mergeCell ref="I568:I569"/>
    <mergeCell ref="A537:A538"/>
    <mergeCell ref="B537:B538"/>
    <mergeCell ref="C537:D537"/>
    <mergeCell ref="E537:E538"/>
    <mergeCell ref="F537:F538"/>
    <mergeCell ref="G537:G538"/>
    <mergeCell ref="H477:H478"/>
    <mergeCell ref="I477:I478"/>
    <mergeCell ref="A506:A507"/>
    <mergeCell ref="B506:B507"/>
    <mergeCell ref="C506:D506"/>
    <mergeCell ref="E506:E507"/>
    <mergeCell ref="F506:F507"/>
    <mergeCell ref="G506:G507"/>
    <mergeCell ref="H506:H507"/>
    <mergeCell ref="I506:I507"/>
    <mergeCell ref="A477:A478"/>
    <mergeCell ref="B477:B478"/>
    <mergeCell ref="C477:D477"/>
    <mergeCell ref="E477:E478"/>
    <mergeCell ref="F477:F478"/>
    <mergeCell ref="G477:G478"/>
    <mergeCell ref="H417:H418"/>
    <mergeCell ref="I417:I418"/>
    <mergeCell ref="A450:A451"/>
    <mergeCell ref="B450:B451"/>
    <mergeCell ref="C450:D450"/>
    <mergeCell ref="E450:E451"/>
    <mergeCell ref="F450:F451"/>
    <mergeCell ref="G450:G451"/>
    <mergeCell ref="H450:H451"/>
    <mergeCell ref="I450:I451"/>
    <mergeCell ref="H396:H397"/>
    <mergeCell ref="I396:I397"/>
    <mergeCell ref="A413:I414"/>
    <mergeCell ref="A415:I415"/>
    <mergeCell ref="A417:A418"/>
    <mergeCell ref="B417:B418"/>
    <mergeCell ref="C417:D417"/>
    <mergeCell ref="E417:E418"/>
    <mergeCell ref="F417:F418"/>
    <mergeCell ref="G417:G418"/>
    <mergeCell ref="A396:A397"/>
    <mergeCell ref="B396:B397"/>
    <mergeCell ref="C396:D396"/>
    <mergeCell ref="E396:E397"/>
    <mergeCell ref="F396:F397"/>
    <mergeCell ref="G396:G397"/>
    <mergeCell ref="H354:H355"/>
    <mergeCell ref="I354:I355"/>
    <mergeCell ref="A373:A374"/>
    <mergeCell ref="B373:B374"/>
    <mergeCell ref="C373:D373"/>
    <mergeCell ref="E373:E374"/>
    <mergeCell ref="F373:F374"/>
    <mergeCell ref="G373:G374"/>
    <mergeCell ref="H373:H374"/>
    <mergeCell ref="I373:I374"/>
    <mergeCell ref="A354:A355"/>
    <mergeCell ref="B354:B355"/>
    <mergeCell ref="C354:D354"/>
    <mergeCell ref="E354:E355"/>
    <mergeCell ref="F354:F355"/>
    <mergeCell ref="G354:G355"/>
    <mergeCell ref="H313:H314"/>
    <mergeCell ref="I313:I314"/>
    <mergeCell ref="A335:A336"/>
    <mergeCell ref="B335:B336"/>
    <mergeCell ref="C335:D335"/>
    <mergeCell ref="E335:E336"/>
    <mergeCell ref="F335:F336"/>
    <mergeCell ref="G335:G336"/>
    <mergeCell ref="H335:H336"/>
    <mergeCell ref="I335:I336"/>
    <mergeCell ref="A313:A314"/>
    <mergeCell ref="B313:B314"/>
    <mergeCell ref="C313:D313"/>
    <mergeCell ref="E313:E314"/>
    <mergeCell ref="F313:F314"/>
    <mergeCell ref="G313:G314"/>
    <mergeCell ref="A289:I289"/>
    <mergeCell ref="A291:A292"/>
    <mergeCell ref="B291:B292"/>
    <mergeCell ref="C291:D291"/>
    <mergeCell ref="E291:E292"/>
    <mergeCell ref="F291:F292"/>
    <mergeCell ref="G291:G292"/>
    <mergeCell ref="H291:H292"/>
    <mergeCell ref="I291:I292"/>
    <mergeCell ref="H240:H241"/>
    <mergeCell ref="I240:I241"/>
    <mergeCell ref="A263:A264"/>
    <mergeCell ref="B263:B264"/>
    <mergeCell ref="C263:D263"/>
    <mergeCell ref="E263:E264"/>
    <mergeCell ref="F263:F264"/>
    <mergeCell ref="G263:G264"/>
    <mergeCell ref="H263:H264"/>
    <mergeCell ref="I263:I264"/>
    <mergeCell ref="A240:A241"/>
    <mergeCell ref="B240:B241"/>
    <mergeCell ref="C240:D240"/>
    <mergeCell ref="E240:E241"/>
    <mergeCell ref="F240:F241"/>
    <mergeCell ref="G240:G241"/>
    <mergeCell ref="H193:H194"/>
    <mergeCell ref="I193:I194"/>
    <mergeCell ref="A221:A222"/>
    <mergeCell ref="B221:B222"/>
    <mergeCell ref="C221:D221"/>
    <mergeCell ref="E221:E222"/>
    <mergeCell ref="F221:F222"/>
    <mergeCell ref="G221:G222"/>
    <mergeCell ref="H221:H222"/>
    <mergeCell ref="I221:I222"/>
    <mergeCell ref="A193:A194"/>
    <mergeCell ref="B193:B194"/>
    <mergeCell ref="C193:D193"/>
    <mergeCell ref="E193:E194"/>
    <mergeCell ref="F193:F194"/>
    <mergeCell ref="G193:G194"/>
    <mergeCell ref="A166:I166"/>
    <mergeCell ref="A168:A169"/>
    <mergeCell ref="B168:B169"/>
    <mergeCell ref="C168:D168"/>
    <mergeCell ref="E168:E169"/>
    <mergeCell ref="F168:F169"/>
    <mergeCell ref="G168:G169"/>
    <mergeCell ref="H168:H169"/>
    <mergeCell ref="I168:I169"/>
    <mergeCell ref="H116:H117"/>
    <mergeCell ref="I116:I117"/>
    <mergeCell ref="A141:A142"/>
    <mergeCell ref="B141:B142"/>
    <mergeCell ref="C141:D141"/>
    <mergeCell ref="E141:E142"/>
    <mergeCell ref="F141:F142"/>
    <mergeCell ref="G141:G142"/>
    <mergeCell ref="H141:H142"/>
    <mergeCell ref="I141:I142"/>
    <mergeCell ref="A116:A117"/>
    <mergeCell ref="B116:B117"/>
    <mergeCell ref="C116:D116"/>
    <mergeCell ref="E116:E117"/>
    <mergeCell ref="F116:F117"/>
    <mergeCell ref="G116:G117"/>
    <mergeCell ref="H60:H61"/>
    <mergeCell ref="I60:I61"/>
    <mergeCell ref="A86:A87"/>
    <mergeCell ref="B86:B87"/>
    <mergeCell ref="C86:D86"/>
    <mergeCell ref="E86:E87"/>
    <mergeCell ref="F86:F87"/>
    <mergeCell ref="G86:G87"/>
    <mergeCell ref="H86:H87"/>
    <mergeCell ref="I86:I87"/>
    <mergeCell ref="A60:A61"/>
    <mergeCell ref="B60:B61"/>
    <mergeCell ref="C60:D60"/>
    <mergeCell ref="E60:E61"/>
    <mergeCell ref="F60:F61"/>
    <mergeCell ref="G60:G61"/>
    <mergeCell ref="H1:H2"/>
    <mergeCell ref="I1:I2"/>
    <mergeCell ref="A27:A28"/>
    <mergeCell ref="B27:B28"/>
    <mergeCell ref="C27:D27"/>
    <mergeCell ref="E27:E28"/>
    <mergeCell ref="F27:F28"/>
    <mergeCell ref="G27:G28"/>
    <mergeCell ref="H27:H28"/>
    <mergeCell ref="I27:I28"/>
    <mergeCell ref="A1:A2"/>
    <mergeCell ref="B1:B2"/>
    <mergeCell ref="C1:D1"/>
    <mergeCell ref="E1:E2"/>
    <mergeCell ref="F1:F2"/>
    <mergeCell ref="G1: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5B52-B2D2-488D-A202-EB797CD8902F}">
  <dimension ref="A1:S622"/>
  <sheetViews>
    <sheetView workbookViewId="0">
      <selection sqref="A1:XFD1048576"/>
    </sheetView>
  </sheetViews>
  <sheetFormatPr defaultRowHeight="14.4" x14ac:dyDescent="0.3"/>
  <cols>
    <col min="1" max="1" width="11.109375" bestFit="1" customWidth="1"/>
    <col min="2" max="2" width="6.6640625" bestFit="1" customWidth="1"/>
    <col min="4" max="4" width="8.6640625" customWidth="1"/>
    <col min="5" max="5" width="12.88671875" bestFit="1" customWidth="1"/>
    <col min="7" max="7" width="171.44140625" bestFit="1" customWidth="1"/>
    <col min="8" max="8" width="20.44140625" bestFit="1" customWidth="1"/>
    <col min="9" max="9" width="20" customWidth="1"/>
    <col min="17" max="17" width="68" customWidth="1"/>
    <col min="18" max="18" width="18.88671875" customWidth="1"/>
    <col min="19" max="19" width="20" customWidth="1"/>
  </cols>
  <sheetData>
    <row r="1" spans="1:9" ht="15" customHeight="1" x14ac:dyDescent="0.3">
      <c r="A1" s="78" t="s">
        <v>1</v>
      </c>
      <c r="B1" s="78" t="s">
        <v>2</v>
      </c>
      <c r="C1" s="79" t="s">
        <v>3</v>
      </c>
      <c r="D1" s="80"/>
      <c r="E1" s="78" t="s">
        <v>4</v>
      </c>
      <c r="F1" s="78" t="s">
        <v>5</v>
      </c>
      <c r="G1" s="78" t="s">
        <v>6</v>
      </c>
      <c r="H1" s="78" t="s">
        <v>7</v>
      </c>
      <c r="I1" s="78" t="s">
        <v>8</v>
      </c>
    </row>
    <row r="2" spans="1:9" x14ac:dyDescent="0.3">
      <c r="A2" s="81"/>
      <c r="B2" s="81"/>
      <c r="C2" s="82" t="s">
        <v>9</v>
      </c>
      <c r="D2" s="82" t="s">
        <v>10</v>
      </c>
      <c r="E2" s="81"/>
      <c r="F2" s="81"/>
      <c r="G2" s="81"/>
      <c r="H2" s="81"/>
      <c r="I2" s="81"/>
    </row>
    <row r="3" spans="1:9" ht="15" customHeight="1" x14ac:dyDescent="0.3">
      <c r="A3" s="83">
        <v>45838</v>
      </c>
      <c r="B3" s="83" t="s">
        <v>12</v>
      </c>
      <c r="C3" s="84">
        <v>0.91666666666666663</v>
      </c>
      <c r="D3" s="84">
        <v>0.92708333333333337</v>
      </c>
      <c r="E3" s="85">
        <f>(D3-C3)*1440</f>
        <v>15.000000000000107</v>
      </c>
      <c r="F3" s="86" t="s">
        <v>658</v>
      </c>
      <c r="G3" s="87" t="s">
        <v>659</v>
      </c>
      <c r="H3" s="86" t="s">
        <v>660</v>
      </c>
      <c r="I3" s="86"/>
    </row>
    <row r="4" spans="1:9" x14ac:dyDescent="0.3">
      <c r="A4" s="83">
        <v>45838</v>
      </c>
      <c r="B4" s="83" t="s">
        <v>12</v>
      </c>
      <c r="C4" s="84">
        <v>0.92708333333333337</v>
      </c>
      <c r="D4" s="84">
        <v>0.9375</v>
      </c>
      <c r="E4" s="85">
        <f>(D4-C4)*1440</f>
        <v>14.999999999999947</v>
      </c>
      <c r="F4" s="86" t="s">
        <v>658</v>
      </c>
      <c r="G4" s="88" t="s">
        <v>661</v>
      </c>
      <c r="H4" s="86" t="s">
        <v>662</v>
      </c>
      <c r="I4" s="86"/>
    </row>
    <row r="5" spans="1:9" x14ac:dyDescent="0.3">
      <c r="A5" s="83">
        <v>45838</v>
      </c>
      <c r="B5" s="83" t="s">
        <v>12</v>
      </c>
      <c r="C5" s="84">
        <v>0.9375</v>
      </c>
      <c r="D5" s="84">
        <v>0.95833333333333337</v>
      </c>
      <c r="E5" s="85">
        <f t="shared" ref="E5:E7" si="0">(D5-C5)*1440</f>
        <v>30.000000000000053</v>
      </c>
      <c r="F5" s="86" t="s">
        <v>658</v>
      </c>
      <c r="G5" s="89" t="s">
        <v>663</v>
      </c>
      <c r="H5" s="86" t="s">
        <v>664</v>
      </c>
      <c r="I5" s="86"/>
    </row>
    <row r="6" spans="1:9" x14ac:dyDescent="0.3">
      <c r="A6" s="83">
        <v>45838</v>
      </c>
      <c r="B6" s="83" t="s">
        <v>12</v>
      </c>
      <c r="C6" s="84">
        <v>0.95833333333333337</v>
      </c>
      <c r="D6" s="84">
        <v>0.96875</v>
      </c>
      <c r="E6" s="85">
        <f t="shared" si="0"/>
        <v>14.999999999999947</v>
      </c>
      <c r="F6" s="86" t="s">
        <v>658</v>
      </c>
      <c r="G6" s="87" t="s">
        <v>665</v>
      </c>
      <c r="H6" s="86" t="s">
        <v>664</v>
      </c>
      <c r="I6" s="86"/>
    </row>
    <row r="7" spans="1:9" x14ac:dyDescent="0.3">
      <c r="A7" s="83">
        <v>45838</v>
      </c>
      <c r="B7" s="83" t="s">
        <v>12</v>
      </c>
      <c r="C7" s="84">
        <v>0.96875</v>
      </c>
      <c r="D7" s="84">
        <v>0.97916666666666663</v>
      </c>
      <c r="E7" s="85">
        <f t="shared" si="0"/>
        <v>14.999999999999947</v>
      </c>
      <c r="F7" s="86" t="s">
        <v>658</v>
      </c>
      <c r="G7" s="90" t="s">
        <v>666</v>
      </c>
      <c r="H7" s="86" t="s">
        <v>662</v>
      </c>
      <c r="I7" s="86"/>
    </row>
    <row r="8" spans="1:9" x14ac:dyDescent="0.3">
      <c r="A8" s="83">
        <v>45838</v>
      </c>
      <c r="B8" s="83" t="s">
        <v>12</v>
      </c>
      <c r="C8" s="84">
        <v>0.97916666666666663</v>
      </c>
      <c r="D8" s="84">
        <v>0.98958333333333337</v>
      </c>
      <c r="E8" s="85">
        <f>(D8-C8)*1440</f>
        <v>15.000000000000107</v>
      </c>
      <c r="F8" s="86" t="s">
        <v>658</v>
      </c>
      <c r="G8" s="88" t="s">
        <v>667</v>
      </c>
      <c r="H8" s="91" t="s">
        <v>662</v>
      </c>
      <c r="I8" s="88"/>
    </row>
    <row r="9" spans="1:9" x14ac:dyDescent="0.3">
      <c r="A9" s="83">
        <v>45838</v>
      </c>
      <c r="B9" s="83" t="s">
        <v>12</v>
      </c>
      <c r="C9" s="84">
        <v>0.98958333333333337</v>
      </c>
      <c r="D9" s="84">
        <v>1</v>
      </c>
      <c r="E9" s="85">
        <f t="shared" ref="E9:E20" si="1">(D9-C9)*1440</f>
        <v>14.999999999999947</v>
      </c>
      <c r="F9" s="86" t="s">
        <v>658</v>
      </c>
      <c r="G9" s="88" t="s">
        <v>668</v>
      </c>
      <c r="H9" s="91" t="s">
        <v>662</v>
      </c>
      <c r="I9" s="88"/>
    </row>
    <row r="10" spans="1:9" x14ac:dyDescent="0.3">
      <c r="A10" s="83">
        <v>45838</v>
      </c>
      <c r="B10" s="83" t="s">
        <v>12</v>
      </c>
      <c r="C10" s="84">
        <v>0</v>
      </c>
      <c r="D10" s="84">
        <v>4.1666666666666664E-2</v>
      </c>
      <c r="E10" s="85">
        <f t="shared" si="1"/>
        <v>60</v>
      </c>
      <c r="F10" s="86" t="s">
        <v>658</v>
      </c>
      <c r="G10" s="88" t="s">
        <v>669</v>
      </c>
      <c r="H10" s="91" t="s">
        <v>670</v>
      </c>
      <c r="I10" s="88"/>
    </row>
    <row r="11" spans="1:9" x14ac:dyDescent="0.3">
      <c r="A11" s="83">
        <v>45839</v>
      </c>
      <c r="B11" s="83" t="s">
        <v>12</v>
      </c>
      <c r="C11" s="84">
        <v>4.1666666666666664E-2</v>
      </c>
      <c r="D11" s="84">
        <v>4.8611111111111112E-2</v>
      </c>
      <c r="E11" s="85">
        <f t="shared" si="1"/>
        <v>10.000000000000004</v>
      </c>
      <c r="F11" s="86" t="s">
        <v>658</v>
      </c>
      <c r="G11" s="88" t="s">
        <v>671</v>
      </c>
      <c r="H11" s="91" t="s">
        <v>662</v>
      </c>
      <c r="I11" s="88"/>
    </row>
    <row r="12" spans="1:9" x14ac:dyDescent="0.3">
      <c r="A12" s="83">
        <v>45839</v>
      </c>
      <c r="B12" s="83" t="s">
        <v>12</v>
      </c>
      <c r="C12" s="84">
        <v>4.8611111111111112E-2</v>
      </c>
      <c r="D12" s="84">
        <v>9.375E-2</v>
      </c>
      <c r="E12" s="85">
        <f t="shared" si="1"/>
        <v>65</v>
      </c>
      <c r="F12" s="86" t="s">
        <v>658</v>
      </c>
      <c r="G12" s="88" t="s">
        <v>672</v>
      </c>
      <c r="H12" s="91" t="s">
        <v>673</v>
      </c>
      <c r="I12" s="88"/>
    </row>
    <row r="13" spans="1:9" x14ac:dyDescent="0.3">
      <c r="A13" s="83">
        <v>45839</v>
      </c>
      <c r="B13" s="83" t="s">
        <v>12</v>
      </c>
      <c r="C13" s="84">
        <v>9.375E-2</v>
      </c>
      <c r="D13" s="84">
        <v>0.1388888888888889</v>
      </c>
      <c r="E13" s="85">
        <f t="shared" si="1"/>
        <v>65.000000000000014</v>
      </c>
      <c r="F13" s="86" t="s">
        <v>658</v>
      </c>
      <c r="G13" s="88" t="s">
        <v>674</v>
      </c>
      <c r="H13" s="91" t="s">
        <v>673</v>
      </c>
      <c r="I13" s="88"/>
    </row>
    <row r="14" spans="1:9" x14ac:dyDescent="0.3">
      <c r="A14" s="83">
        <v>45839</v>
      </c>
      <c r="B14" s="83" t="s">
        <v>12</v>
      </c>
      <c r="C14" s="84">
        <v>0.1388888888888889</v>
      </c>
      <c r="D14" s="84">
        <v>0.1875</v>
      </c>
      <c r="E14" s="85">
        <f t="shared" si="1"/>
        <v>69.999999999999986</v>
      </c>
      <c r="F14" s="86" t="s">
        <v>658</v>
      </c>
      <c r="G14" s="88" t="s">
        <v>675</v>
      </c>
      <c r="H14" s="91" t="s">
        <v>673</v>
      </c>
      <c r="I14" s="88"/>
    </row>
    <row r="15" spans="1:9" x14ac:dyDescent="0.3">
      <c r="A15" s="83">
        <v>45839</v>
      </c>
      <c r="B15" s="83" t="s">
        <v>12</v>
      </c>
      <c r="C15" s="84">
        <v>0.1875</v>
      </c>
      <c r="D15" s="84">
        <v>0.20833333333333334</v>
      </c>
      <c r="E15" s="85">
        <f t="shared" si="1"/>
        <v>30.000000000000014</v>
      </c>
      <c r="F15" s="86" t="s">
        <v>658</v>
      </c>
      <c r="G15" s="88" t="s">
        <v>676</v>
      </c>
      <c r="H15" s="91" t="s">
        <v>579</v>
      </c>
      <c r="I15" s="88"/>
    </row>
    <row r="16" spans="1:9" x14ac:dyDescent="0.3">
      <c r="A16" s="83">
        <v>45839</v>
      </c>
      <c r="B16" s="83" t="s">
        <v>12</v>
      </c>
      <c r="C16" s="84">
        <v>0.20833333333333334</v>
      </c>
      <c r="D16" s="84">
        <v>0.23958333333333334</v>
      </c>
      <c r="E16" s="85">
        <f t="shared" si="1"/>
        <v>45</v>
      </c>
      <c r="F16" s="86" t="s">
        <v>658</v>
      </c>
      <c r="G16" s="88" t="s">
        <v>677</v>
      </c>
      <c r="H16" s="91" t="s">
        <v>673</v>
      </c>
      <c r="I16" s="92"/>
    </row>
    <row r="17" spans="1:9" x14ac:dyDescent="0.3">
      <c r="A17" s="83">
        <v>45839</v>
      </c>
      <c r="B17" s="83" t="s">
        <v>12</v>
      </c>
      <c r="C17" s="84">
        <v>0.23958333333333334</v>
      </c>
      <c r="D17" s="84">
        <v>0.25</v>
      </c>
      <c r="E17" s="85">
        <f t="shared" si="1"/>
        <v>14.999999999999986</v>
      </c>
      <c r="F17" s="86" t="s">
        <v>658</v>
      </c>
      <c r="G17" s="88" t="s">
        <v>678</v>
      </c>
      <c r="H17" s="91" t="s">
        <v>662</v>
      </c>
      <c r="I17" s="92"/>
    </row>
    <row r="18" spans="1:9" x14ac:dyDescent="0.3">
      <c r="A18" s="83">
        <v>45839</v>
      </c>
      <c r="B18" s="83" t="s">
        <v>12</v>
      </c>
      <c r="C18" s="84">
        <v>0.25</v>
      </c>
      <c r="D18" s="84">
        <v>0.26041666666666669</v>
      </c>
      <c r="E18" s="85">
        <f t="shared" si="1"/>
        <v>15.000000000000027</v>
      </c>
      <c r="F18" s="86" t="s">
        <v>658</v>
      </c>
      <c r="G18" s="88" t="s">
        <v>679</v>
      </c>
      <c r="H18" s="91" t="s">
        <v>660</v>
      </c>
      <c r="I18" s="92"/>
    </row>
    <row r="19" spans="1:9" x14ac:dyDescent="0.3">
      <c r="A19" s="83">
        <v>45839</v>
      </c>
      <c r="B19" s="83" t="s">
        <v>12</v>
      </c>
      <c r="C19" s="84">
        <v>0.26041666666666669</v>
      </c>
      <c r="D19" s="84">
        <v>0.28125</v>
      </c>
      <c r="E19" s="85">
        <f t="shared" si="1"/>
        <v>29.999999999999972</v>
      </c>
      <c r="F19" s="86" t="s">
        <v>658</v>
      </c>
      <c r="G19" s="93" t="s">
        <v>680</v>
      </c>
      <c r="H19" s="91" t="s">
        <v>664</v>
      </c>
      <c r="I19" s="92"/>
    </row>
    <row r="20" spans="1:9" x14ac:dyDescent="0.3">
      <c r="A20" s="83">
        <v>45839</v>
      </c>
      <c r="B20" s="83" t="s">
        <v>12</v>
      </c>
      <c r="C20" s="84">
        <v>0.28125</v>
      </c>
      <c r="D20" s="84">
        <v>0.29166666666666669</v>
      </c>
      <c r="E20" s="85">
        <f t="shared" si="1"/>
        <v>15.000000000000027</v>
      </c>
      <c r="F20" s="86" t="s">
        <v>658</v>
      </c>
      <c r="G20" s="88" t="s">
        <v>681</v>
      </c>
      <c r="H20" s="91" t="s">
        <v>662</v>
      </c>
      <c r="I20" s="92"/>
    </row>
    <row r="21" spans="1:9" x14ac:dyDescent="0.3">
      <c r="A21" s="94"/>
      <c r="B21" s="95"/>
      <c r="C21" s="96"/>
      <c r="D21" s="96"/>
      <c r="E21" s="97"/>
      <c r="F21" s="98"/>
      <c r="G21" s="95"/>
      <c r="H21" s="95"/>
      <c r="I21" s="95"/>
    </row>
    <row r="22" spans="1:9" ht="26.4" x14ac:dyDescent="0.3">
      <c r="A22" s="99" t="s">
        <v>1</v>
      </c>
      <c r="B22" s="99" t="s">
        <v>2</v>
      </c>
      <c r="C22" s="79" t="s">
        <v>3</v>
      </c>
      <c r="D22" s="80"/>
      <c r="E22" s="99" t="s">
        <v>4</v>
      </c>
      <c r="F22" s="99" t="s">
        <v>5</v>
      </c>
      <c r="G22" s="99" t="s">
        <v>6</v>
      </c>
      <c r="H22" s="99" t="s">
        <v>7</v>
      </c>
      <c r="I22" s="99" t="s">
        <v>8</v>
      </c>
    </row>
    <row r="23" spans="1:9" x14ac:dyDescent="0.3">
      <c r="A23" s="100"/>
      <c r="B23" s="100"/>
      <c r="C23" s="82" t="s">
        <v>9</v>
      </c>
      <c r="D23" s="82" t="s">
        <v>10</v>
      </c>
      <c r="E23" s="100"/>
      <c r="F23" s="100"/>
      <c r="G23" s="100"/>
      <c r="H23" s="100"/>
      <c r="I23" s="100"/>
    </row>
    <row r="24" spans="1:9" s="104" customFormat="1" x14ac:dyDescent="0.3">
      <c r="A24" s="101">
        <v>45840</v>
      </c>
      <c r="B24" s="101" t="s">
        <v>59</v>
      </c>
      <c r="C24" s="102">
        <v>0.91666666666666663</v>
      </c>
      <c r="D24" s="102">
        <v>0.92708333333333337</v>
      </c>
      <c r="E24" s="103">
        <f t="shared" ref="E24:E43" si="2">(D24-C24)*1440</f>
        <v>15.000000000000107</v>
      </c>
      <c r="F24" s="87" t="s">
        <v>658</v>
      </c>
      <c r="G24" s="87" t="s">
        <v>659</v>
      </c>
      <c r="H24" s="87" t="s">
        <v>660</v>
      </c>
      <c r="I24" s="87"/>
    </row>
    <row r="25" spans="1:9" s="104" customFormat="1" x14ac:dyDescent="0.3">
      <c r="A25" s="101">
        <v>45840</v>
      </c>
      <c r="B25" s="101" t="s">
        <v>59</v>
      </c>
      <c r="C25" s="102">
        <v>0.92708333333333337</v>
      </c>
      <c r="D25" s="102">
        <v>0.9375</v>
      </c>
      <c r="E25" s="103">
        <f t="shared" si="2"/>
        <v>14.999999999999947</v>
      </c>
      <c r="F25" s="87" t="s">
        <v>658</v>
      </c>
      <c r="G25" s="88" t="s">
        <v>682</v>
      </c>
      <c r="H25" s="87" t="s">
        <v>662</v>
      </c>
      <c r="I25" s="87"/>
    </row>
    <row r="26" spans="1:9" s="104" customFormat="1" x14ac:dyDescent="0.3">
      <c r="A26" s="101">
        <v>45840</v>
      </c>
      <c r="B26" s="101" t="s">
        <v>59</v>
      </c>
      <c r="C26" s="102">
        <v>0.9375</v>
      </c>
      <c r="D26" s="102">
        <v>0.95833333333333337</v>
      </c>
      <c r="E26" s="103">
        <f t="shared" si="2"/>
        <v>30.000000000000053</v>
      </c>
      <c r="F26" s="87" t="s">
        <v>658</v>
      </c>
      <c r="G26" s="87" t="s">
        <v>683</v>
      </c>
      <c r="H26" s="87" t="s">
        <v>684</v>
      </c>
      <c r="I26" s="87"/>
    </row>
    <row r="27" spans="1:9" s="104" customFormat="1" x14ac:dyDescent="0.3">
      <c r="A27" s="101">
        <v>45840</v>
      </c>
      <c r="B27" s="101" t="s">
        <v>59</v>
      </c>
      <c r="C27" s="102">
        <v>0.95833333333333337</v>
      </c>
      <c r="D27" s="102">
        <v>0.96875</v>
      </c>
      <c r="E27" s="103">
        <f t="shared" si="2"/>
        <v>14.999999999999947</v>
      </c>
      <c r="F27" s="87" t="s">
        <v>658</v>
      </c>
      <c r="G27" s="87" t="s">
        <v>685</v>
      </c>
      <c r="H27" s="87" t="s">
        <v>662</v>
      </c>
      <c r="I27" s="87"/>
    </row>
    <row r="28" spans="1:9" s="104" customFormat="1" x14ac:dyDescent="0.3">
      <c r="A28" s="101">
        <v>45840</v>
      </c>
      <c r="B28" s="101" t="s">
        <v>59</v>
      </c>
      <c r="C28" s="102">
        <v>0.96875</v>
      </c>
      <c r="D28" s="102">
        <v>0.97916666666666663</v>
      </c>
      <c r="E28" s="103">
        <f t="shared" si="2"/>
        <v>14.999999999999947</v>
      </c>
      <c r="F28" s="87" t="s">
        <v>658</v>
      </c>
      <c r="G28" s="87" t="s">
        <v>686</v>
      </c>
      <c r="H28" s="87" t="s">
        <v>662</v>
      </c>
      <c r="I28" s="87"/>
    </row>
    <row r="29" spans="1:9" s="104" customFormat="1" x14ac:dyDescent="0.3">
      <c r="A29" s="101">
        <v>45840</v>
      </c>
      <c r="B29" s="101" t="s">
        <v>59</v>
      </c>
      <c r="C29" s="102">
        <v>0.97916666666666663</v>
      </c>
      <c r="D29" s="102">
        <v>0.98958333333333337</v>
      </c>
      <c r="E29" s="103">
        <f t="shared" si="2"/>
        <v>15.000000000000107</v>
      </c>
      <c r="F29" s="87" t="s">
        <v>658</v>
      </c>
      <c r="G29" s="88" t="s">
        <v>687</v>
      </c>
      <c r="H29" s="88" t="s">
        <v>662</v>
      </c>
      <c r="I29" s="88"/>
    </row>
    <row r="30" spans="1:9" s="104" customFormat="1" x14ac:dyDescent="0.3">
      <c r="A30" s="101">
        <v>45840</v>
      </c>
      <c r="B30" s="101" t="s">
        <v>59</v>
      </c>
      <c r="C30" s="102">
        <v>0.98958333333333337</v>
      </c>
      <c r="D30" s="102">
        <v>1</v>
      </c>
      <c r="E30" s="103">
        <f t="shared" si="2"/>
        <v>14.999999999999947</v>
      </c>
      <c r="F30" s="87" t="s">
        <v>658</v>
      </c>
      <c r="G30" s="88" t="s">
        <v>688</v>
      </c>
      <c r="H30" s="88" t="s">
        <v>662</v>
      </c>
      <c r="I30" s="88"/>
    </row>
    <row r="31" spans="1:9" s="104" customFormat="1" ht="15" customHeight="1" x14ac:dyDescent="0.3">
      <c r="A31" s="101">
        <v>45840</v>
      </c>
      <c r="B31" s="101" t="s">
        <v>59</v>
      </c>
      <c r="C31" s="102">
        <v>0</v>
      </c>
      <c r="D31" s="102">
        <v>4.1666666666666664E-2</v>
      </c>
      <c r="E31" s="103">
        <f t="shared" si="2"/>
        <v>60</v>
      </c>
      <c r="F31" s="87" t="s">
        <v>658</v>
      </c>
      <c r="G31" s="88" t="s">
        <v>669</v>
      </c>
      <c r="H31" s="88" t="s">
        <v>670</v>
      </c>
      <c r="I31" s="88"/>
    </row>
    <row r="32" spans="1:9" s="104" customFormat="1" x14ac:dyDescent="0.3">
      <c r="A32" s="101">
        <v>45840</v>
      </c>
      <c r="B32" s="101" t="s">
        <v>59</v>
      </c>
      <c r="C32" s="102">
        <v>4.1666666666666664E-2</v>
      </c>
      <c r="D32" s="102">
        <v>5.2083333333333336E-2</v>
      </c>
      <c r="E32" s="103">
        <f t="shared" si="2"/>
        <v>15.000000000000007</v>
      </c>
      <c r="F32" s="87" t="s">
        <v>658</v>
      </c>
      <c r="G32" s="88" t="s">
        <v>689</v>
      </c>
      <c r="H32" s="88" t="s">
        <v>662</v>
      </c>
      <c r="I32" s="88"/>
    </row>
    <row r="33" spans="1:9" s="104" customFormat="1" x14ac:dyDescent="0.3">
      <c r="A33" s="101">
        <v>45840</v>
      </c>
      <c r="B33" s="101" t="s">
        <v>59</v>
      </c>
      <c r="C33" s="102">
        <v>5.2083333333333336E-2</v>
      </c>
      <c r="D33" s="102">
        <v>7.2916666666666671E-2</v>
      </c>
      <c r="E33" s="103">
        <f t="shared" si="2"/>
        <v>30.000000000000004</v>
      </c>
      <c r="F33" s="87" t="s">
        <v>658</v>
      </c>
      <c r="G33" s="88" t="s">
        <v>690</v>
      </c>
      <c r="H33" s="88" t="s">
        <v>673</v>
      </c>
      <c r="I33" s="88"/>
    </row>
    <row r="34" spans="1:9" s="104" customFormat="1" ht="24" customHeight="1" x14ac:dyDescent="0.3">
      <c r="A34" s="101">
        <v>45840</v>
      </c>
      <c r="B34" s="101" t="s">
        <v>59</v>
      </c>
      <c r="C34" s="102">
        <v>7.2916666666666671E-2</v>
      </c>
      <c r="D34" s="102">
        <v>9.375E-2</v>
      </c>
      <c r="E34" s="103">
        <f t="shared" si="2"/>
        <v>29.999999999999993</v>
      </c>
      <c r="F34" s="87" t="s">
        <v>658</v>
      </c>
      <c r="G34" s="88" t="s">
        <v>691</v>
      </c>
      <c r="H34" s="88" t="s">
        <v>673</v>
      </c>
      <c r="I34" s="88"/>
    </row>
    <row r="35" spans="1:9" s="104" customFormat="1" x14ac:dyDescent="0.3">
      <c r="A35" s="101">
        <v>45840</v>
      </c>
      <c r="B35" s="101" t="s">
        <v>59</v>
      </c>
      <c r="C35" s="102">
        <v>9.375E-2</v>
      </c>
      <c r="D35" s="102">
        <v>0.11458333333333333</v>
      </c>
      <c r="E35" s="103">
        <f t="shared" si="2"/>
        <v>29.999999999999993</v>
      </c>
      <c r="F35" s="87" t="s">
        <v>658</v>
      </c>
      <c r="G35" s="88" t="s">
        <v>692</v>
      </c>
      <c r="H35" s="88" t="s">
        <v>673</v>
      </c>
      <c r="I35" s="88"/>
    </row>
    <row r="36" spans="1:9" s="104" customFormat="1" x14ac:dyDescent="0.3">
      <c r="A36" s="101">
        <v>45840</v>
      </c>
      <c r="B36" s="101" t="s">
        <v>59</v>
      </c>
      <c r="C36" s="102">
        <v>0.11458333333333333</v>
      </c>
      <c r="D36" s="102">
        <v>0.13541666666666666</v>
      </c>
      <c r="E36" s="103">
        <f t="shared" si="2"/>
        <v>29.999999999999993</v>
      </c>
      <c r="F36" s="87" t="s">
        <v>658</v>
      </c>
      <c r="G36" s="88" t="s">
        <v>693</v>
      </c>
      <c r="H36" s="88" t="s">
        <v>673</v>
      </c>
      <c r="I36" s="88"/>
    </row>
    <row r="37" spans="1:9" s="104" customFormat="1" ht="24" customHeight="1" x14ac:dyDescent="0.3">
      <c r="A37" s="101">
        <v>45840</v>
      </c>
      <c r="B37" s="101" t="s">
        <v>59</v>
      </c>
      <c r="C37" s="102">
        <v>0.13541666666666666</v>
      </c>
      <c r="D37" s="102">
        <v>0.1875</v>
      </c>
      <c r="E37" s="103">
        <f t="shared" si="2"/>
        <v>75.000000000000014</v>
      </c>
      <c r="F37" s="87" t="s">
        <v>658</v>
      </c>
      <c r="G37" s="88" t="s">
        <v>694</v>
      </c>
      <c r="H37" s="88" t="s">
        <v>695</v>
      </c>
      <c r="I37" s="105"/>
    </row>
    <row r="38" spans="1:9" s="104" customFormat="1" x14ac:dyDescent="0.3">
      <c r="A38" s="101">
        <v>45840</v>
      </c>
      <c r="B38" s="101" t="s">
        <v>59</v>
      </c>
      <c r="C38" s="102">
        <v>0.1875</v>
      </c>
      <c r="D38" s="102">
        <v>0.20833333333333334</v>
      </c>
      <c r="E38" s="103">
        <f t="shared" si="2"/>
        <v>30.000000000000014</v>
      </c>
      <c r="F38" s="87" t="s">
        <v>658</v>
      </c>
      <c r="G38" s="88" t="s">
        <v>696</v>
      </c>
      <c r="H38" s="88" t="s">
        <v>579</v>
      </c>
      <c r="I38" s="105"/>
    </row>
    <row r="39" spans="1:9" s="104" customFormat="1" ht="24" customHeight="1" x14ac:dyDescent="0.3">
      <c r="A39" s="101">
        <v>45840</v>
      </c>
      <c r="B39" s="101" t="s">
        <v>59</v>
      </c>
      <c r="C39" s="102">
        <v>0.20833333333333334</v>
      </c>
      <c r="D39" s="102">
        <v>0.23958333333333334</v>
      </c>
      <c r="E39" s="103">
        <f t="shared" si="2"/>
        <v>45</v>
      </c>
      <c r="F39" s="87" t="s">
        <v>658</v>
      </c>
      <c r="G39" s="88" t="s">
        <v>697</v>
      </c>
      <c r="H39" s="88" t="s">
        <v>695</v>
      </c>
      <c r="I39" s="105"/>
    </row>
    <row r="40" spans="1:9" s="104" customFormat="1" x14ac:dyDescent="0.3">
      <c r="A40" s="101">
        <v>45840</v>
      </c>
      <c r="B40" s="101" t="s">
        <v>59</v>
      </c>
      <c r="C40" s="102">
        <v>0.23958333333333334</v>
      </c>
      <c r="D40" s="102">
        <v>0.25</v>
      </c>
      <c r="E40" s="103">
        <f t="shared" si="2"/>
        <v>14.999999999999986</v>
      </c>
      <c r="F40" s="87" t="s">
        <v>658</v>
      </c>
      <c r="G40" s="88" t="s">
        <v>698</v>
      </c>
      <c r="H40" s="88" t="s">
        <v>662</v>
      </c>
      <c r="I40" s="105"/>
    </row>
    <row r="41" spans="1:9" s="104" customFormat="1" ht="24" customHeight="1" x14ac:dyDescent="0.3">
      <c r="A41" s="101">
        <v>45840</v>
      </c>
      <c r="B41" s="101" t="s">
        <v>59</v>
      </c>
      <c r="C41" s="106">
        <v>0.25</v>
      </c>
      <c r="D41" s="102">
        <v>0.26041666666666669</v>
      </c>
      <c r="E41" s="103">
        <f t="shared" si="2"/>
        <v>15.000000000000027</v>
      </c>
      <c r="F41" s="87" t="s">
        <v>658</v>
      </c>
      <c r="G41" s="88" t="s">
        <v>679</v>
      </c>
      <c r="H41" s="88" t="s">
        <v>660</v>
      </c>
      <c r="I41" s="105"/>
    </row>
    <row r="42" spans="1:9" s="104" customFormat="1" ht="24" customHeight="1" x14ac:dyDescent="0.3">
      <c r="A42" s="101">
        <v>45840</v>
      </c>
      <c r="B42" s="107" t="s">
        <v>59</v>
      </c>
      <c r="C42" s="102">
        <v>0.26041666666666669</v>
      </c>
      <c r="D42" s="102">
        <v>0.28125</v>
      </c>
      <c r="E42" s="103">
        <f t="shared" si="2"/>
        <v>29.999999999999972</v>
      </c>
      <c r="F42" s="87" t="s">
        <v>658</v>
      </c>
      <c r="G42" s="88" t="s">
        <v>699</v>
      </c>
      <c r="H42" s="88" t="s">
        <v>664</v>
      </c>
      <c r="I42" s="105"/>
    </row>
    <row r="43" spans="1:9" s="104" customFormat="1" ht="24" customHeight="1" x14ac:dyDescent="0.3">
      <c r="A43" s="101">
        <v>45840</v>
      </c>
      <c r="B43" s="101" t="s">
        <v>59</v>
      </c>
      <c r="C43" s="102">
        <v>0.28125</v>
      </c>
      <c r="D43" s="102">
        <v>0.29166666666666669</v>
      </c>
      <c r="E43" s="103">
        <f t="shared" si="2"/>
        <v>15.000000000000027</v>
      </c>
      <c r="F43" s="87" t="s">
        <v>658</v>
      </c>
      <c r="G43" s="88" t="s">
        <v>700</v>
      </c>
      <c r="H43" s="88" t="s">
        <v>662</v>
      </c>
      <c r="I43" s="105"/>
    </row>
    <row r="44" spans="1:9" s="104" customFormat="1" x14ac:dyDescent="0.3">
      <c r="A44" s="108"/>
      <c r="B44" s="108"/>
      <c r="C44" s="108"/>
      <c r="D44" s="108"/>
      <c r="E44" s="108"/>
      <c r="F44" s="108"/>
      <c r="G44" s="108"/>
      <c r="H44" s="108"/>
      <c r="I44" s="108"/>
    </row>
    <row r="45" spans="1:9" s="104" customFormat="1" ht="26.4" x14ac:dyDescent="0.3">
      <c r="A45" s="109" t="s">
        <v>1</v>
      </c>
      <c r="B45" s="109" t="s">
        <v>2</v>
      </c>
      <c r="C45" s="110" t="s">
        <v>3</v>
      </c>
      <c r="D45" s="111"/>
      <c r="E45" s="109" t="s">
        <v>4</v>
      </c>
      <c r="F45" s="109" t="s">
        <v>5</v>
      </c>
      <c r="G45" s="109" t="s">
        <v>6</v>
      </c>
      <c r="H45" s="109" t="s">
        <v>7</v>
      </c>
      <c r="I45" s="109" t="s">
        <v>8</v>
      </c>
    </row>
    <row r="46" spans="1:9" s="104" customFormat="1" x14ac:dyDescent="0.3">
      <c r="A46" s="112"/>
      <c r="B46" s="112"/>
      <c r="C46" s="113" t="s">
        <v>9</v>
      </c>
      <c r="D46" s="113" t="s">
        <v>10</v>
      </c>
      <c r="E46" s="112"/>
      <c r="F46" s="112"/>
      <c r="G46" s="112"/>
      <c r="H46" s="112"/>
      <c r="I46" s="112"/>
    </row>
    <row r="47" spans="1:9" s="104" customFormat="1" x14ac:dyDescent="0.3">
      <c r="A47" s="101">
        <v>45841</v>
      </c>
      <c r="B47" s="101" t="s">
        <v>88</v>
      </c>
      <c r="C47" s="102">
        <v>0.91666666666666663</v>
      </c>
      <c r="D47" s="102">
        <v>0.92708333333333337</v>
      </c>
      <c r="E47" s="103">
        <f>(D47-C47)*1440</f>
        <v>15.000000000000107</v>
      </c>
      <c r="F47" s="87" t="s">
        <v>658</v>
      </c>
      <c r="G47" s="87" t="s">
        <v>659</v>
      </c>
      <c r="H47" s="87" t="s">
        <v>660</v>
      </c>
      <c r="I47" s="87"/>
    </row>
    <row r="48" spans="1:9" s="104" customFormat="1" x14ac:dyDescent="0.3">
      <c r="A48" s="101">
        <v>45841</v>
      </c>
      <c r="B48" s="101" t="s">
        <v>88</v>
      </c>
      <c r="C48" s="102">
        <v>0.92708333333333337</v>
      </c>
      <c r="D48" s="102">
        <v>0.9375</v>
      </c>
      <c r="E48" s="103">
        <f>(D48-C48)*1440</f>
        <v>14.999999999999947</v>
      </c>
      <c r="F48" s="87" t="s">
        <v>658</v>
      </c>
      <c r="G48" s="88" t="s">
        <v>701</v>
      </c>
      <c r="H48" s="87" t="s">
        <v>662</v>
      </c>
      <c r="I48" s="87"/>
    </row>
    <row r="49" spans="1:9" s="104" customFormat="1" x14ac:dyDescent="0.3">
      <c r="A49" s="101">
        <v>45841</v>
      </c>
      <c r="B49" s="101" t="s">
        <v>88</v>
      </c>
      <c r="C49" s="102">
        <v>0.9375</v>
      </c>
      <c r="D49" s="102">
        <v>0.94791666666666663</v>
      </c>
      <c r="E49" s="103">
        <f>(D49-C49)*1440</f>
        <v>14.999999999999947</v>
      </c>
      <c r="F49" s="87" t="s">
        <v>658</v>
      </c>
      <c r="G49" s="88" t="s">
        <v>687</v>
      </c>
      <c r="H49" s="87" t="s">
        <v>662</v>
      </c>
      <c r="I49" s="87"/>
    </row>
    <row r="50" spans="1:9" s="104" customFormat="1" x14ac:dyDescent="0.3">
      <c r="A50" s="101">
        <v>45841</v>
      </c>
      <c r="B50" s="101" t="s">
        <v>88</v>
      </c>
      <c r="C50" s="102">
        <v>0.94791666666666663</v>
      </c>
      <c r="D50" s="102">
        <v>0.96875</v>
      </c>
      <c r="E50" s="103">
        <f t="shared" ref="E50:E69" si="3">(D50-C50)*1440</f>
        <v>30.000000000000053</v>
      </c>
      <c r="F50" s="87" t="s">
        <v>658</v>
      </c>
      <c r="G50" s="87" t="s">
        <v>683</v>
      </c>
      <c r="H50" s="87" t="s">
        <v>684</v>
      </c>
      <c r="I50" s="87"/>
    </row>
    <row r="51" spans="1:9" s="104" customFormat="1" x14ac:dyDescent="0.3">
      <c r="A51" s="101">
        <v>45841</v>
      </c>
      <c r="B51" s="101" t="s">
        <v>88</v>
      </c>
      <c r="C51" s="102">
        <v>0.96875</v>
      </c>
      <c r="D51" s="102">
        <v>0.97916666666666663</v>
      </c>
      <c r="E51" s="103">
        <f t="shared" si="3"/>
        <v>14.999999999999947</v>
      </c>
      <c r="F51" s="87" t="s">
        <v>658</v>
      </c>
      <c r="G51" s="87" t="s">
        <v>686</v>
      </c>
      <c r="H51" s="87" t="s">
        <v>662</v>
      </c>
      <c r="I51" s="87"/>
    </row>
    <row r="52" spans="1:9" s="104" customFormat="1" x14ac:dyDescent="0.3">
      <c r="A52" s="101">
        <v>45841</v>
      </c>
      <c r="B52" s="101" t="s">
        <v>88</v>
      </c>
      <c r="C52" s="102">
        <v>0.97916666666666663</v>
      </c>
      <c r="D52" s="102">
        <v>0.98958333333333337</v>
      </c>
      <c r="E52" s="103">
        <f t="shared" si="3"/>
        <v>15.000000000000107</v>
      </c>
      <c r="F52" s="87" t="s">
        <v>658</v>
      </c>
      <c r="G52" s="88" t="s">
        <v>688</v>
      </c>
      <c r="H52" s="87" t="s">
        <v>662</v>
      </c>
      <c r="I52" s="87"/>
    </row>
    <row r="53" spans="1:9" s="104" customFormat="1" x14ac:dyDescent="0.3">
      <c r="A53" s="101">
        <v>45841</v>
      </c>
      <c r="B53" s="101" t="s">
        <v>88</v>
      </c>
      <c r="C53" s="102">
        <v>0.98958333333333337</v>
      </c>
      <c r="D53" s="102">
        <v>1</v>
      </c>
      <c r="E53" s="103">
        <f t="shared" si="3"/>
        <v>14.999999999999947</v>
      </c>
      <c r="F53" s="87" t="s">
        <v>658</v>
      </c>
      <c r="G53" s="87" t="s">
        <v>702</v>
      </c>
      <c r="H53" s="87" t="s">
        <v>662</v>
      </c>
      <c r="I53" s="87"/>
    </row>
    <row r="54" spans="1:9" s="104" customFormat="1" ht="18" customHeight="1" x14ac:dyDescent="0.3">
      <c r="A54" s="101">
        <v>45841</v>
      </c>
      <c r="B54" s="101" t="s">
        <v>88</v>
      </c>
      <c r="C54" s="102">
        <v>1</v>
      </c>
      <c r="D54" s="102">
        <v>1.0416666666666701</v>
      </c>
      <c r="E54" s="103">
        <f t="shared" si="3"/>
        <v>60.000000000004903</v>
      </c>
      <c r="F54" s="87" t="s">
        <v>658</v>
      </c>
      <c r="G54" s="88" t="s">
        <v>669</v>
      </c>
      <c r="H54" s="88" t="s">
        <v>670</v>
      </c>
      <c r="I54" s="88"/>
    </row>
    <row r="55" spans="1:9" s="104" customFormat="1" ht="26.25" customHeight="1" x14ac:dyDescent="0.3">
      <c r="A55" s="101">
        <v>45841</v>
      </c>
      <c r="B55" s="101" t="s">
        <v>88</v>
      </c>
      <c r="C55" s="102">
        <v>1.0416666666666701</v>
      </c>
      <c r="D55" s="102">
        <v>1.0833333333333399</v>
      </c>
      <c r="E55" s="103">
        <f t="shared" si="3"/>
        <v>60.000000000004583</v>
      </c>
      <c r="F55" s="87" t="s">
        <v>658</v>
      </c>
      <c r="G55" s="88" t="s">
        <v>703</v>
      </c>
      <c r="H55" s="88" t="s">
        <v>662</v>
      </c>
      <c r="I55" s="88"/>
    </row>
    <row r="56" spans="1:9" s="104" customFormat="1" x14ac:dyDescent="0.3">
      <c r="A56" s="101">
        <v>45841</v>
      </c>
      <c r="B56" s="101" t="s">
        <v>88</v>
      </c>
      <c r="C56" s="102">
        <v>8.3333333333333329E-2</v>
      </c>
      <c r="D56" s="102">
        <v>9.375E-2</v>
      </c>
      <c r="E56" s="103">
        <f t="shared" si="3"/>
        <v>15.000000000000007</v>
      </c>
      <c r="F56" s="87" t="s">
        <v>658</v>
      </c>
      <c r="G56" s="88" t="s">
        <v>689</v>
      </c>
      <c r="H56" s="88" t="s">
        <v>662</v>
      </c>
      <c r="I56" s="88"/>
    </row>
    <row r="57" spans="1:9" s="104" customFormat="1" x14ac:dyDescent="0.3">
      <c r="A57" s="101">
        <v>45841</v>
      </c>
      <c r="B57" s="101" t="s">
        <v>88</v>
      </c>
      <c r="C57" s="102">
        <v>9.375E-2</v>
      </c>
      <c r="D57" s="102">
        <v>0.11458333333333333</v>
      </c>
      <c r="E57" s="103">
        <f t="shared" si="3"/>
        <v>29.999999999999993</v>
      </c>
      <c r="F57" s="87" t="s">
        <v>658</v>
      </c>
      <c r="G57" s="88" t="s">
        <v>704</v>
      </c>
      <c r="H57" s="88" t="s">
        <v>673</v>
      </c>
      <c r="I57" s="88"/>
    </row>
    <row r="58" spans="1:9" s="104" customFormat="1" x14ac:dyDescent="0.3">
      <c r="A58" s="101">
        <v>45841</v>
      </c>
      <c r="B58" s="101" t="s">
        <v>88</v>
      </c>
      <c r="C58" s="102">
        <v>0.11458333333333333</v>
      </c>
      <c r="D58" s="102">
        <v>0.13541666666666666</v>
      </c>
      <c r="E58" s="103">
        <f t="shared" si="3"/>
        <v>29.999999999999993</v>
      </c>
      <c r="F58" s="87" t="s">
        <v>658</v>
      </c>
      <c r="G58" s="88" t="s">
        <v>705</v>
      </c>
      <c r="H58" s="88" t="s">
        <v>673</v>
      </c>
      <c r="I58" s="88"/>
    </row>
    <row r="59" spans="1:9" s="104" customFormat="1" x14ac:dyDescent="0.3">
      <c r="A59" s="101">
        <v>45841</v>
      </c>
      <c r="B59" s="101" t="s">
        <v>88</v>
      </c>
      <c r="C59" s="102">
        <v>0.13541666666666666</v>
      </c>
      <c r="D59" s="102">
        <v>0.15625</v>
      </c>
      <c r="E59" s="103">
        <f t="shared" si="3"/>
        <v>30.000000000000014</v>
      </c>
      <c r="F59" s="87" t="s">
        <v>658</v>
      </c>
      <c r="G59" s="88" t="s">
        <v>706</v>
      </c>
      <c r="H59" s="88" t="s">
        <v>673</v>
      </c>
      <c r="I59" s="88"/>
    </row>
    <row r="60" spans="1:9" s="104" customFormat="1" x14ac:dyDescent="0.3">
      <c r="A60" s="101">
        <v>45841</v>
      </c>
      <c r="B60" s="101" t="s">
        <v>88</v>
      </c>
      <c r="C60" s="102">
        <v>0.15625</v>
      </c>
      <c r="D60" s="102">
        <v>0.17708333333333334</v>
      </c>
      <c r="E60" s="103">
        <f t="shared" si="3"/>
        <v>30.000000000000014</v>
      </c>
      <c r="F60" s="87" t="s">
        <v>658</v>
      </c>
      <c r="G60" s="88" t="s">
        <v>707</v>
      </c>
      <c r="H60" s="88" t="s">
        <v>673</v>
      </c>
      <c r="I60" s="88"/>
    </row>
    <row r="61" spans="1:9" s="104" customFormat="1" x14ac:dyDescent="0.3">
      <c r="A61" s="101">
        <v>45841</v>
      </c>
      <c r="B61" s="101" t="s">
        <v>88</v>
      </c>
      <c r="C61" s="102">
        <v>0.17708333333333334</v>
      </c>
      <c r="D61" s="102">
        <v>0.1875</v>
      </c>
      <c r="E61" s="103">
        <f t="shared" si="3"/>
        <v>14.999999999999986</v>
      </c>
      <c r="F61" s="87" t="s">
        <v>658</v>
      </c>
      <c r="G61" s="88" t="s">
        <v>708</v>
      </c>
      <c r="H61" s="88" t="s">
        <v>662</v>
      </c>
      <c r="I61" s="88"/>
    </row>
    <row r="62" spans="1:9" s="104" customFormat="1" x14ac:dyDescent="0.3">
      <c r="A62" s="101">
        <v>45841</v>
      </c>
      <c r="B62" s="101" t="s">
        <v>88</v>
      </c>
      <c r="C62" s="102">
        <v>0.1875</v>
      </c>
      <c r="D62" s="102">
        <v>0.20833333333333334</v>
      </c>
      <c r="E62" s="103">
        <f t="shared" si="3"/>
        <v>30.000000000000014</v>
      </c>
      <c r="F62" s="87" t="s">
        <v>658</v>
      </c>
      <c r="G62" s="88" t="s">
        <v>709</v>
      </c>
      <c r="H62" s="88" t="s">
        <v>579</v>
      </c>
      <c r="I62" s="105"/>
    </row>
    <row r="63" spans="1:9" s="104" customFormat="1" x14ac:dyDescent="0.3">
      <c r="A63" s="101">
        <v>45841</v>
      </c>
      <c r="B63" s="101" t="s">
        <v>88</v>
      </c>
      <c r="C63" s="102">
        <v>0.20833333333333334</v>
      </c>
      <c r="D63" s="102">
        <v>0.21875</v>
      </c>
      <c r="E63" s="103">
        <f t="shared" si="3"/>
        <v>14.999999999999986</v>
      </c>
      <c r="F63" s="87" t="s">
        <v>658</v>
      </c>
      <c r="G63" s="88" t="s">
        <v>710</v>
      </c>
      <c r="H63" s="88" t="s">
        <v>662</v>
      </c>
      <c r="I63" s="105"/>
    </row>
    <row r="64" spans="1:9" s="104" customFormat="1" x14ac:dyDescent="0.3">
      <c r="A64" s="101">
        <v>45841</v>
      </c>
      <c r="B64" s="101" t="s">
        <v>88</v>
      </c>
      <c r="C64" s="102">
        <v>0.21875</v>
      </c>
      <c r="D64" s="102">
        <v>0.22916666666666666</v>
      </c>
      <c r="E64" s="103">
        <f t="shared" si="3"/>
        <v>14.999999999999986</v>
      </c>
      <c r="F64" s="87" t="s">
        <v>658</v>
      </c>
      <c r="G64" s="88" t="s">
        <v>711</v>
      </c>
      <c r="H64" s="88" t="s">
        <v>662</v>
      </c>
      <c r="I64" s="105"/>
    </row>
    <row r="65" spans="1:9" s="104" customFormat="1" x14ac:dyDescent="0.3">
      <c r="A65" s="101">
        <v>45841</v>
      </c>
      <c r="B65" s="101" t="s">
        <v>88</v>
      </c>
      <c r="C65" s="102">
        <v>0.22916666666666666</v>
      </c>
      <c r="D65" s="102">
        <v>0.23958333333333334</v>
      </c>
      <c r="E65" s="103">
        <f t="shared" si="3"/>
        <v>15.000000000000027</v>
      </c>
      <c r="F65" s="87" t="s">
        <v>658</v>
      </c>
      <c r="G65" s="88" t="s">
        <v>712</v>
      </c>
      <c r="H65" s="88" t="s">
        <v>662</v>
      </c>
      <c r="I65" s="105"/>
    </row>
    <row r="66" spans="1:9" s="104" customFormat="1" x14ac:dyDescent="0.3">
      <c r="A66" s="101">
        <v>45841</v>
      </c>
      <c r="B66" s="101" t="s">
        <v>88</v>
      </c>
      <c r="C66" s="102">
        <v>0.23958333333333334</v>
      </c>
      <c r="D66" s="102">
        <v>0.25</v>
      </c>
      <c r="E66" s="103">
        <f t="shared" si="3"/>
        <v>14.999999999999986</v>
      </c>
      <c r="F66" s="87" t="s">
        <v>658</v>
      </c>
      <c r="G66" s="88" t="s">
        <v>713</v>
      </c>
      <c r="H66" s="88" t="s">
        <v>664</v>
      </c>
      <c r="I66" s="105"/>
    </row>
    <row r="67" spans="1:9" s="104" customFormat="1" x14ac:dyDescent="0.3">
      <c r="A67" s="101">
        <v>45841</v>
      </c>
      <c r="B67" s="101" t="s">
        <v>88</v>
      </c>
      <c r="C67" s="102">
        <v>0.25</v>
      </c>
      <c r="D67" s="102">
        <v>0.26041666666666669</v>
      </c>
      <c r="E67" s="103">
        <f t="shared" si="3"/>
        <v>15.000000000000027</v>
      </c>
      <c r="F67" s="87" t="s">
        <v>658</v>
      </c>
      <c r="G67" s="88" t="s">
        <v>714</v>
      </c>
      <c r="H67" s="87" t="s">
        <v>660</v>
      </c>
      <c r="I67" s="105"/>
    </row>
    <row r="68" spans="1:9" s="104" customFormat="1" x14ac:dyDescent="0.3">
      <c r="A68" s="101">
        <v>45841</v>
      </c>
      <c r="B68" s="101" t="s">
        <v>88</v>
      </c>
      <c r="C68" s="102">
        <v>0.26041666666666669</v>
      </c>
      <c r="D68" s="102">
        <v>0.28125</v>
      </c>
      <c r="E68" s="103">
        <f t="shared" si="3"/>
        <v>29.999999999999972</v>
      </c>
      <c r="F68" s="87" t="s">
        <v>658</v>
      </c>
      <c r="G68" s="88" t="s">
        <v>699</v>
      </c>
      <c r="H68" s="88" t="s">
        <v>664</v>
      </c>
      <c r="I68" s="105"/>
    </row>
    <row r="69" spans="1:9" s="104" customFormat="1" x14ac:dyDescent="0.3">
      <c r="A69" s="101">
        <v>45841</v>
      </c>
      <c r="B69" s="101" t="s">
        <v>88</v>
      </c>
      <c r="C69" s="102">
        <v>0.28125</v>
      </c>
      <c r="D69" s="102">
        <v>0.29166666666666669</v>
      </c>
      <c r="E69" s="103">
        <f t="shared" si="3"/>
        <v>15.000000000000027</v>
      </c>
      <c r="F69" s="87" t="s">
        <v>658</v>
      </c>
      <c r="G69" s="88" t="s">
        <v>715</v>
      </c>
      <c r="H69" s="88" t="s">
        <v>662</v>
      </c>
      <c r="I69" s="105"/>
    </row>
    <row r="70" spans="1:9" s="104" customFormat="1" x14ac:dyDescent="0.3">
      <c r="A70" s="108"/>
      <c r="B70" s="108"/>
      <c r="C70" s="108"/>
      <c r="D70" s="108"/>
      <c r="E70" s="108"/>
      <c r="F70" s="108"/>
      <c r="G70" s="108"/>
      <c r="H70" s="108"/>
      <c r="I70" s="108"/>
    </row>
    <row r="71" spans="1:9" s="104" customFormat="1" ht="26.4" x14ac:dyDescent="0.3">
      <c r="A71" s="109" t="s">
        <v>1</v>
      </c>
      <c r="B71" s="109" t="s">
        <v>2</v>
      </c>
      <c r="C71" s="110" t="s">
        <v>3</v>
      </c>
      <c r="D71" s="111"/>
      <c r="E71" s="109" t="s">
        <v>4</v>
      </c>
      <c r="F71" s="109" t="s">
        <v>5</v>
      </c>
      <c r="G71" s="109" t="s">
        <v>6</v>
      </c>
      <c r="H71" s="109" t="s">
        <v>7</v>
      </c>
      <c r="I71" s="109" t="s">
        <v>8</v>
      </c>
    </row>
    <row r="72" spans="1:9" s="104" customFormat="1" x14ac:dyDescent="0.3">
      <c r="A72" s="112"/>
      <c r="B72" s="112"/>
      <c r="C72" s="113" t="s">
        <v>9</v>
      </c>
      <c r="D72" s="113" t="s">
        <v>10</v>
      </c>
      <c r="E72" s="112"/>
      <c r="F72" s="112"/>
      <c r="G72" s="112"/>
      <c r="H72" s="112"/>
      <c r="I72" s="112"/>
    </row>
    <row r="73" spans="1:9" s="104" customFormat="1" x14ac:dyDescent="0.3">
      <c r="A73" s="101">
        <v>45842</v>
      </c>
      <c r="B73" s="101" t="s">
        <v>91</v>
      </c>
      <c r="C73" s="102">
        <v>0.91666666666666663</v>
      </c>
      <c r="D73" s="102">
        <v>0.92708333333333337</v>
      </c>
      <c r="E73" s="103">
        <f>(D73-C73)*1440</f>
        <v>15.000000000000107</v>
      </c>
      <c r="F73" s="87" t="s">
        <v>658</v>
      </c>
      <c r="G73" s="87" t="s">
        <v>659</v>
      </c>
      <c r="H73" s="87" t="s">
        <v>660</v>
      </c>
      <c r="I73" s="87"/>
    </row>
    <row r="74" spans="1:9" s="104" customFormat="1" x14ac:dyDescent="0.3">
      <c r="A74" s="101">
        <v>45842</v>
      </c>
      <c r="B74" s="101" t="s">
        <v>91</v>
      </c>
      <c r="C74" s="102">
        <v>0.92708333333333337</v>
      </c>
      <c r="D74" s="102">
        <v>0.9375</v>
      </c>
      <c r="E74" s="103">
        <f>(D74-C74)*1440</f>
        <v>14.999999999999947</v>
      </c>
      <c r="F74" s="87" t="s">
        <v>658</v>
      </c>
      <c r="G74" s="88" t="s">
        <v>701</v>
      </c>
      <c r="H74" s="87" t="s">
        <v>662</v>
      </c>
      <c r="I74" s="87"/>
    </row>
    <row r="75" spans="1:9" s="104" customFormat="1" x14ac:dyDescent="0.3">
      <c r="A75" s="101">
        <v>45842</v>
      </c>
      <c r="B75" s="101" t="s">
        <v>91</v>
      </c>
      <c r="C75" s="102">
        <v>0.9375</v>
      </c>
      <c r="D75" s="102">
        <v>0.94791666666666663</v>
      </c>
      <c r="E75" s="103">
        <f>(D75-C75)*1440</f>
        <v>14.999999999999947</v>
      </c>
      <c r="F75" s="87" t="s">
        <v>658</v>
      </c>
      <c r="G75" s="88" t="s">
        <v>687</v>
      </c>
      <c r="H75" s="87" t="s">
        <v>662</v>
      </c>
      <c r="I75" s="87"/>
    </row>
    <row r="76" spans="1:9" s="104" customFormat="1" x14ac:dyDescent="0.3">
      <c r="A76" s="101">
        <v>45842</v>
      </c>
      <c r="B76" s="101" t="s">
        <v>91</v>
      </c>
      <c r="C76" s="102">
        <v>0.94791666666666663</v>
      </c>
      <c r="D76" s="102">
        <v>0.96875</v>
      </c>
      <c r="E76" s="103">
        <f t="shared" ref="E76:E94" si="4">(D76-C76)*1440</f>
        <v>30.000000000000053</v>
      </c>
      <c r="F76" s="87" t="s">
        <v>658</v>
      </c>
      <c r="G76" s="87" t="s">
        <v>716</v>
      </c>
      <c r="H76" s="87" t="s">
        <v>684</v>
      </c>
      <c r="I76" s="87"/>
    </row>
    <row r="77" spans="1:9" s="104" customFormat="1" x14ac:dyDescent="0.3">
      <c r="A77" s="101">
        <v>45842</v>
      </c>
      <c r="B77" s="101" t="s">
        <v>91</v>
      </c>
      <c r="C77" s="102">
        <v>0.96875</v>
      </c>
      <c r="D77" s="102">
        <v>0.97916666666666663</v>
      </c>
      <c r="E77" s="103">
        <f t="shared" si="4"/>
        <v>14.999999999999947</v>
      </c>
      <c r="F77" s="87" t="s">
        <v>658</v>
      </c>
      <c r="G77" s="87" t="s">
        <v>686</v>
      </c>
      <c r="H77" s="87" t="s">
        <v>662</v>
      </c>
      <c r="I77" s="87"/>
    </row>
    <row r="78" spans="1:9" s="104" customFormat="1" x14ac:dyDescent="0.3">
      <c r="A78" s="101">
        <v>45842</v>
      </c>
      <c r="B78" s="101" t="s">
        <v>91</v>
      </c>
      <c r="C78" s="102">
        <v>0.97916666666666663</v>
      </c>
      <c r="D78" s="102">
        <v>0.98958333333333337</v>
      </c>
      <c r="E78" s="103">
        <f t="shared" si="4"/>
        <v>15.000000000000107</v>
      </c>
      <c r="F78" s="87" t="s">
        <v>658</v>
      </c>
      <c r="G78" s="88" t="s">
        <v>717</v>
      </c>
      <c r="H78" s="87" t="s">
        <v>662</v>
      </c>
      <c r="I78" s="87"/>
    </row>
    <row r="79" spans="1:9" s="104" customFormat="1" x14ac:dyDescent="0.3">
      <c r="A79" s="101">
        <v>45842</v>
      </c>
      <c r="B79" s="101" t="s">
        <v>91</v>
      </c>
      <c r="C79" s="102">
        <v>0.98958333333333337</v>
      </c>
      <c r="D79" s="102">
        <v>1</v>
      </c>
      <c r="E79" s="103">
        <f t="shared" si="4"/>
        <v>14.999999999999947</v>
      </c>
      <c r="F79" s="87" t="s">
        <v>658</v>
      </c>
      <c r="G79" s="87" t="s">
        <v>718</v>
      </c>
      <c r="H79" s="87" t="s">
        <v>662</v>
      </c>
      <c r="I79" s="87"/>
    </row>
    <row r="80" spans="1:9" s="104" customFormat="1" x14ac:dyDescent="0.3">
      <c r="A80" s="101">
        <v>45842</v>
      </c>
      <c r="B80" s="101" t="s">
        <v>91</v>
      </c>
      <c r="C80" s="102">
        <v>1</v>
      </c>
      <c r="D80" s="102">
        <v>1.0416666666666701</v>
      </c>
      <c r="E80" s="103">
        <f t="shared" si="4"/>
        <v>60.000000000004903</v>
      </c>
      <c r="F80" s="87" t="s">
        <v>658</v>
      </c>
      <c r="G80" s="88" t="s">
        <v>669</v>
      </c>
      <c r="H80" s="88" t="s">
        <v>670</v>
      </c>
      <c r="I80" s="88"/>
    </row>
    <row r="81" spans="1:19" s="104" customFormat="1" ht="30" customHeight="1" x14ac:dyDescent="0.3">
      <c r="A81" s="101">
        <v>45842</v>
      </c>
      <c r="B81" s="101" t="s">
        <v>91</v>
      </c>
      <c r="C81" s="102">
        <v>1.0416666666666701</v>
      </c>
      <c r="D81" s="102">
        <v>1.0833333333333399</v>
      </c>
      <c r="E81" s="103">
        <f t="shared" si="4"/>
        <v>60.000000000004583</v>
      </c>
      <c r="F81" s="87" t="s">
        <v>658</v>
      </c>
      <c r="G81" s="88" t="s">
        <v>703</v>
      </c>
      <c r="H81" s="88" t="s">
        <v>662</v>
      </c>
      <c r="I81" s="88"/>
    </row>
    <row r="82" spans="1:19" s="104" customFormat="1" x14ac:dyDescent="0.3">
      <c r="A82" s="101">
        <v>45842</v>
      </c>
      <c r="B82" s="101" t="s">
        <v>91</v>
      </c>
      <c r="C82" s="102">
        <v>8.3333333333333329E-2</v>
      </c>
      <c r="D82" s="102">
        <v>9.375E-2</v>
      </c>
      <c r="E82" s="103">
        <f t="shared" si="4"/>
        <v>15.000000000000007</v>
      </c>
      <c r="F82" s="87" t="s">
        <v>658</v>
      </c>
      <c r="G82" s="88" t="s">
        <v>689</v>
      </c>
      <c r="H82" s="88" t="s">
        <v>662</v>
      </c>
      <c r="I82" s="88"/>
    </row>
    <row r="83" spans="1:19" s="104" customFormat="1" x14ac:dyDescent="0.3">
      <c r="A83" s="101">
        <v>45842</v>
      </c>
      <c r="B83" s="101" t="s">
        <v>91</v>
      </c>
      <c r="C83" s="102">
        <v>9.375E-2</v>
      </c>
      <c r="D83" s="102">
        <v>0.13541666666666666</v>
      </c>
      <c r="E83" s="103">
        <f t="shared" si="4"/>
        <v>59.999999999999986</v>
      </c>
      <c r="F83" s="87" t="s">
        <v>658</v>
      </c>
      <c r="G83" s="88" t="s">
        <v>704</v>
      </c>
      <c r="H83" s="88" t="s">
        <v>673</v>
      </c>
      <c r="I83" s="88"/>
    </row>
    <row r="84" spans="1:19" s="104" customFormat="1" x14ac:dyDescent="0.3">
      <c r="A84" s="101">
        <v>45842</v>
      </c>
      <c r="B84" s="101" t="s">
        <v>91</v>
      </c>
      <c r="C84" s="102">
        <v>0.13541666666666666</v>
      </c>
      <c r="D84" s="102">
        <v>0.15625</v>
      </c>
      <c r="E84" s="103">
        <f t="shared" si="4"/>
        <v>30.000000000000014</v>
      </c>
      <c r="F84" s="87" t="s">
        <v>658</v>
      </c>
      <c r="G84" s="88" t="s">
        <v>705</v>
      </c>
      <c r="H84" s="88" t="s">
        <v>673</v>
      </c>
      <c r="I84" s="88"/>
    </row>
    <row r="85" spans="1:19" s="104" customFormat="1" x14ac:dyDescent="0.3">
      <c r="A85" s="101">
        <v>45842</v>
      </c>
      <c r="B85" s="101" t="s">
        <v>91</v>
      </c>
      <c r="C85" s="102">
        <v>0.15625</v>
      </c>
      <c r="D85" s="102">
        <v>0.17708333333333334</v>
      </c>
      <c r="E85" s="103">
        <f t="shared" si="4"/>
        <v>30.000000000000014</v>
      </c>
      <c r="F85" s="87" t="s">
        <v>658</v>
      </c>
      <c r="G85" s="88" t="s">
        <v>719</v>
      </c>
      <c r="H85" s="88" t="s">
        <v>720</v>
      </c>
      <c r="I85" s="88"/>
    </row>
    <row r="86" spans="1:19" s="104" customFormat="1" x14ac:dyDescent="0.3">
      <c r="A86" s="101">
        <v>45842</v>
      </c>
      <c r="B86" s="101" t="s">
        <v>91</v>
      </c>
      <c r="C86" s="102">
        <v>0.17708333333333334</v>
      </c>
      <c r="D86" s="102">
        <v>0.19791666666666666</v>
      </c>
      <c r="E86" s="103">
        <f t="shared" si="4"/>
        <v>29.999999999999972</v>
      </c>
      <c r="F86" s="87" t="s">
        <v>658</v>
      </c>
      <c r="G86" s="88" t="s">
        <v>706</v>
      </c>
      <c r="H86" s="88" t="s">
        <v>673</v>
      </c>
      <c r="I86" s="88"/>
    </row>
    <row r="87" spans="1:19" s="104" customFormat="1" x14ac:dyDescent="0.3">
      <c r="A87" s="101">
        <v>45842</v>
      </c>
      <c r="B87" s="101" t="s">
        <v>91</v>
      </c>
      <c r="C87" s="102">
        <v>0.17708333333333334</v>
      </c>
      <c r="D87" s="102">
        <v>0.19791666666666666</v>
      </c>
      <c r="E87" s="103">
        <f t="shared" si="4"/>
        <v>29.999999999999972</v>
      </c>
      <c r="F87" s="87" t="s">
        <v>658</v>
      </c>
      <c r="G87" s="88" t="s">
        <v>721</v>
      </c>
      <c r="H87" s="88" t="s">
        <v>662</v>
      </c>
      <c r="I87" s="88"/>
    </row>
    <row r="88" spans="1:19" s="104" customFormat="1" x14ac:dyDescent="0.3">
      <c r="A88" s="101">
        <v>45842</v>
      </c>
      <c r="B88" s="101" t="s">
        <v>91</v>
      </c>
      <c r="C88" s="102">
        <v>0.19791666666666666</v>
      </c>
      <c r="D88" s="102">
        <v>0.21875</v>
      </c>
      <c r="E88" s="103">
        <f t="shared" si="4"/>
        <v>30.000000000000014</v>
      </c>
      <c r="F88" s="87" t="s">
        <v>658</v>
      </c>
      <c r="G88" s="88" t="s">
        <v>709</v>
      </c>
      <c r="H88" s="88" t="s">
        <v>579</v>
      </c>
      <c r="I88" s="105"/>
    </row>
    <row r="89" spans="1:19" s="104" customFormat="1" x14ac:dyDescent="0.3">
      <c r="A89" s="101">
        <v>45842</v>
      </c>
      <c r="B89" s="101" t="s">
        <v>91</v>
      </c>
      <c r="C89" s="102">
        <v>0.21875</v>
      </c>
      <c r="D89" s="102">
        <v>0.22916666666666666</v>
      </c>
      <c r="E89" s="103">
        <f t="shared" si="4"/>
        <v>14.999999999999986</v>
      </c>
      <c r="F89" s="87" t="s">
        <v>658</v>
      </c>
      <c r="G89" s="88" t="s">
        <v>722</v>
      </c>
      <c r="H89" s="88" t="s">
        <v>662</v>
      </c>
      <c r="I89" s="105"/>
    </row>
    <row r="90" spans="1:19" s="104" customFormat="1" x14ac:dyDescent="0.3">
      <c r="A90" s="101">
        <v>45842</v>
      </c>
      <c r="B90" s="101" t="s">
        <v>91</v>
      </c>
      <c r="C90" s="102">
        <v>0.22916666666666666</v>
      </c>
      <c r="D90" s="102">
        <v>0.23958333333333334</v>
      </c>
      <c r="E90" s="103">
        <f t="shared" si="4"/>
        <v>15.000000000000027</v>
      </c>
      <c r="F90" s="87" t="s">
        <v>658</v>
      </c>
      <c r="G90" s="88" t="s">
        <v>723</v>
      </c>
      <c r="H90" s="88" t="s">
        <v>662</v>
      </c>
      <c r="I90" s="105"/>
    </row>
    <row r="91" spans="1:19" s="104" customFormat="1" x14ac:dyDescent="0.3">
      <c r="A91" s="101">
        <v>45842</v>
      </c>
      <c r="B91" s="101" t="s">
        <v>91</v>
      </c>
      <c r="C91" s="102">
        <v>0.23958333333333334</v>
      </c>
      <c r="D91" s="102">
        <v>0.25</v>
      </c>
      <c r="E91" s="103">
        <f t="shared" si="4"/>
        <v>14.999999999999986</v>
      </c>
      <c r="F91" s="87" t="s">
        <v>658</v>
      </c>
      <c r="G91" s="88" t="s">
        <v>713</v>
      </c>
      <c r="H91" s="88" t="s">
        <v>664</v>
      </c>
      <c r="I91" s="105"/>
    </row>
    <row r="92" spans="1:19" s="104" customFormat="1" x14ac:dyDescent="0.3">
      <c r="A92" s="101">
        <v>45842</v>
      </c>
      <c r="B92" s="101" t="s">
        <v>91</v>
      </c>
      <c r="C92" s="102">
        <v>0.25</v>
      </c>
      <c r="D92" s="102">
        <v>0.26041666666666669</v>
      </c>
      <c r="E92" s="103">
        <f t="shared" si="4"/>
        <v>15.000000000000027</v>
      </c>
      <c r="F92" s="87" t="s">
        <v>658</v>
      </c>
      <c r="G92" s="88" t="s">
        <v>714</v>
      </c>
      <c r="H92" s="87" t="s">
        <v>660</v>
      </c>
      <c r="I92" s="105"/>
    </row>
    <row r="93" spans="1:19" s="104" customFormat="1" x14ac:dyDescent="0.3">
      <c r="A93" s="101">
        <v>45842</v>
      </c>
      <c r="B93" s="101" t="s">
        <v>91</v>
      </c>
      <c r="C93" s="102">
        <v>0.26041666666666669</v>
      </c>
      <c r="D93" s="102">
        <v>0.28125</v>
      </c>
      <c r="E93" s="103">
        <f t="shared" si="4"/>
        <v>29.999999999999972</v>
      </c>
      <c r="F93" s="87" t="s">
        <v>658</v>
      </c>
      <c r="G93" s="88" t="s">
        <v>699</v>
      </c>
      <c r="H93" s="88" t="s">
        <v>664</v>
      </c>
      <c r="I93" s="105"/>
    </row>
    <row r="94" spans="1:19" s="104" customFormat="1" x14ac:dyDescent="0.3">
      <c r="A94" s="101">
        <v>45842</v>
      </c>
      <c r="B94" s="101" t="s">
        <v>91</v>
      </c>
      <c r="C94" s="102">
        <v>0.28125</v>
      </c>
      <c r="D94" s="102">
        <v>0.29166666666666669</v>
      </c>
      <c r="E94" s="103">
        <f t="shared" si="4"/>
        <v>15.000000000000027</v>
      </c>
      <c r="F94" s="87" t="s">
        <v>658</v>
      </c>
      <c r="G94" s="88" t="s">
        <v>715</v>
      </c>
      <c r="H94" s="88" t="s">
        <v>662</v>
      </c>
      <c r="I94" s="105"/>
    </row>
    <row r="95" spans="1:19" s="104" customFormat="1" x14ac:dyDescent="0.3">
      <c r="A95" s="108"/>
      <c r="B95" s="108"/>
      <c r="C95" s="108"/>
      <c r="D95" s="108"/>
      <c r="E95" s="108"/>
      <c r="F95" s="108"/>
      <c r="G95" s="108"/>
      <c r="H95" s="108"/>
      <c r="I95" s="108"/>
    </row>
    <row r="96" spans="1:19" s="104" customFormat="1" ht="26.4" x14ac:dyDescent="0.3">
      <c r="A96" s="114" t="s">
        <v>1</v>
      </c>
      <c r="B96" s="114" t="s">
        <v>2</v>
      </c>
      <c r="C96" s="115" t="s">
        <v>3</v>
      </c>
      <c r="D96" s="116"/>
      <c r="E96" s="114" t="s">
        <v>4</v>
      </c>
      <c r="F96" s="114" t="s">
        <v>5</v>
      </c>
      <c r="G96" s="114" t="s">
        <v>6</v>
      </c>
      <c r="H96" s="114" t="s">
        <v>7</v>
      </c>
      <c r="I96" s="114" t="s">
        <v>8</v>
      </c>
      <c r="K96" s="117"/>
      <c r="L96" s="117"/>
      <c r="M96" s="117"/>
      <c r="N96" s="117"/>
      <c r="O96" s="117"/>
      <c r="P96" s="117"/>
      <c r="Q96" s="117"/>
      <c r="R96" s="117"/>
      <c r="S96" s="117"/>
    </row>
    <row r="97" spans="1:19" s="104" customFormat="1" x14ac:dyDescent="0.3">
      <c r="A97" s="118"/>
      <c r="B97" s="118"/>
      <c r="C97" s="119" t="s">
        <v>9</v>
      </c>
      <c r="D97" s="119" t="s">
        <v>10</v>
      </c>
      <c r="E97" s="118"/>
      <c r="F97" s="120"/>
      <c r="G97" s="120"/>
      <c r="H97" s="120"/>
      <c r="I97" s="120"/>
      <c r="K97" s="117"/>
      <c r="L97" s="117"/>
      <c r="M97" s="117"/>
      <c r="N97" s="117"/>
      <c r="O97" s="117"/>
      <c r="P97" s="117"/>
      <c r="Q97" s="117"/>
      <c r="R97" s="117"/>
      <c r="S97" s="117"/>
    </row>
    <row r="98" spans="1:19" s="104" customFormat="1" x14ac:dyDescent="0.3">
      <c r="A98" s="101">
        <v>45843</v>
      </c>
      <c r="B98" s="101" t="s">
        <v>93</v>
      </c>
      <c r="C98" s="121">
        <v>0.91666666666666663</v>
      </c>
      <c r="D98" s="121">
        <v>0.92708333333333337</v>
      </c>
      <c r="E98" s="103">
        <f>(D98-C98)*1440</f>
        <v>15.000000000000107</v>
      </c>
      <c r="F98" s="87" t="s">
        <v>658</v>
      </c>
      <c r="G98" s="122" t="s">
        <v>659</v>
      </c>
      <c r="H98" s="122" t="s">
        <v>660</v>
      </c>
      <c r="I98" s="87"/>
      <c r="K98" s="123"/>
      <c r="L98" s="117"/>
      <c r="M98" s="124"/>
      <c r="N98" s="124"/>
      <c r="O98" s="117"/>
      <c r="P98" s="117"/>
      <c r="Q98" s="117"/>
      <c r="R98" s="117"/>
      <c r="S98" s="117"/>
    </row>
    <row r="99" spans="1:19" s="104" customFormat="1" x14ac:dyDescent="0.3">
      <c r="A99" s="101">
        <v>45843</v>
      </c>
      <c r="B99" s="101" t="s">
        <v>93</v>
      </c>
      <c r="C99" s="121">
        <v>0.92708333333333337</v>
      </c>
      <c r="D99" s="121">
        <v>0.9375</v>
      </c>
      <c r="E99" s="103">
        <f>(D99-C99)*1440</f>
        <v>14.999999999999947</v>
      </c>
      <c r="F99" s="87" t="s">
        <v>658</v>
      </c>
      <c r="G99" s="125" t="s">
        <v>701</v>
      </c>
      <c r="H99" s="122" t="s">
        <v>662</v>
      </c>
      <c r="I99" s="87"/>
      <c r="K99" s="123"/>
      <c r="L99" s="117"/>
      <c r="M99" s="124"/>
      <c r="N99" s="124"/>
      <c r="O99" s="117"/>
      <c r="P99" s="117"/>
      <c r="Q99" s="117"/>
      <c r="R99" s="117"/>
      <c r="S99" s="117"/>
    </row>
    <row r="100" spans="1:19" s="104" customFormat="1" x14ac:dyDescent="0.3">
      <c r="A100" s="101">
        <v>45843</v>
      </c>
      <c r="B100" s="101" t="s">
        <v>93</v>
      </c>
      <c r="C100" s="121">
        <v>0.9375</v>
      </c>
      <c r="D100" s="121">
        <v>0.95833333333333337</v>
      </c>
      <c r="E100" s="103">
        <f>(D100-C100)*1440</f>
        <v>30.000000000000053</v>
      </c>
      <c r="F100" s="87" t="s">
        <v>658</v>
      </c>
      <c r="G100" s="125" t="s">
        <v>687</v>
      </c>
      <c r="H100" s="122" t="s">
        <v>684</v>
      </c>
      <c r="I100" s="87"/>
      <c r="K100" s="123"/>
      <c r="L100" s="117"/>
      <c r="M100" s="124"/>
      <c r="N100" s="124"/>
      <c r="O100" s="117"/>
      <c r="P100" s="117"/>
      <c r="Q100" s="117"/>
      <c r="R100" s="117"/>
      <c r="S100" s="117"/>
    </row>
    <row r="101" spans="1:19" s="104" customFormat="1" x14ac:dyDescent="0.3">
      <c r="A101" s="101">
        <v>45843</v>
      </c>
      <c r="B101" s="101" t="s">
        <v>93</v>
      </c>
      <c r="C101" s="121">
        <v>0.95833333333333337</v>
      </c>
      <c r="D101" s="121">
        <v>0.96875</v>
      </c>
      <c r="E101" s="103">
        <f t="shared" ref="E101:E119" si="5">(D101-C101)*1440</f>
        <v>14.999999999999947</v>
      </c>
      <c r="F101" s="87" t="s">
        <v>658</v>
      </c>
      <c r="G101" s="122" t="s">
        <v>716</v>
      </c>
      <c r="H101" s="122" t="s">
        <v>664</v>
      </c>
      <c r="I101" s="87"/>
      <c r="K101" s="123"/>
      <c r="L101" s="117"/>
      <c r="M101" s="124"/>
      <c r="N101" s="124"/>
      <c r="O101" s="117"/>
      <c r="P101" s="117"/>
      <c r="Q101" s="117"/>
      <c r="R101" s="117"/>
      <c r="S101" s="117"/>
    </row>
    <row r="102" spans="1:19" s="104" customFormat="1" x14ac:dyDescent="0.3">
      <c r="A102" s="101">
        <v>45843</v>
      </c>
      <c r="B102" s="101" t="s">
        <v>93</v>
      </c>
      <c r="C102" s="121">
        <v>0.96875</v>
      </c>
      <c r="D102" s="121">
        <v>0.97916666666666663</v>
      </c>
      <c r="E102" s="103">
        <f t="shared" si="5"/>
        <v>14.999999999999947</v>
      </c>
      <c r="F102" s="87" t="s">
        <v>658</v>
      </c>
      <c r="G102" s="122" t="s">
        <v>686</v>
      </c>
      <c r="H102" s="122" t="s">
        <v>662</v>
      </c>
      <c r="I102" s="87"/>
      <c r="K102" s="123"/>
      <c r="L102" s="117"/>
      <c r="M102" s="124"/>
      <c r="N102" s="124"/>
      <c r="O102" s="117"/>
      <c r="P102" s="117"/>
      <c r="Q102" s="117"/>
      <c r="R102" s="117"/>
      <c r="S102" s="117"/>
    </row>
    <row r="103" spans="1:19" s="104" customFormat="1" x14ac:dyDescent="0.3">
      <c r="A103" s="101">
        <v>45843</v>
      </c>
      <c r="B103" s="101" t="s">
        <v>93</v>
      </c>
      <c r="C103" s="121">
        <v>0.97916666666666663</v>
      </c>
      <c r="D103" s="121">
        <v>0.98958333333333337</v>
      </c>
      <c r="E103" s="103">
        <f t="shared" si="5"/>
        <v>15.000000000000107</v>
      </c>
      <c r="F103" s="87" t="s">
        <v>658</v>
      </c>
      <c r="G103" s="125" t="s">
        <v>724</v>
      </c>
      <c r="H103" s="125" t="s">
        <v>662</v>
      </c>
      <c r="I103" s="87"/>
      <c r="K103" s="123"/>
      <c r="L103" s="117"/>
      <c r="M103" s="124"/>
      <c r="N103" s="124"/>
      <c r="O103" s="117"/>
      <c r="P103" s="117"/>
      <c r="Q103" s="117"/>
      <c r="R103" s="117"/>
      <c r="S103" s="117"/>
    </row>
    <row r="104" spans="1:19" s="104" customFormat="1" x14ac:dyDescent="0.3">
      <c r="A104" s="101">
        <v>45843</v>
      </c>
      <c r="B104" s="101" t="s">
        <v>93</v>
      </c>
      <c r="C104" s="121">
        <v>0.98958333333333337</v>
      </c>
      <c r="D104" s="102">
        <v>1</v>
      </c>
      <c r="E104" s="103">
        <f t="shared" si="5"/>
        <v>14.999999999999947</v>
      </c>
      <c r="F104" s="87" t="s">
        <v>658</v>
      </c>
      <c r="G104" s="122" t="s">
        <v>718</v>
      </c>
      <c r="H104" s="125" t="s">
        <v>662</v>
      </c>
      <c r="I104" s="87"/>
      <c r="K104" s="123"/>
      <c r="L104" s="117"/>
      <c r="M104" s="124"/>
      <c r="N104" s="124"/>
      <c r="O104" s="117"/>
      <c r="P104" s="117"/>
      <c r="Q104" s="117"/>
      <c r="R104" s="117"/>
      <c r="S104" s="117"/>
    </row>
    <row r="105" spans="1:19" s="104" customFormat="1" x14ac:dyDescent="0.3">
      <c r="A105" s="101">
        <v>45843</v>
      </c>
      <c r="B105" s="101" t="s">
        <v>93</v>
      </c>
      <c r="C105" s="121">
        <v>0</v>
      </c>
      <c r="D105" s="121">
        <v>4.1666666666666664E-2</v>
      </c>
      <c r="E105" s="103">
        <f t="shared" si="5"/>
        <v>60</v>
      </c>
      <c r="F105" s="87" t="s">
        <v>658</v>
      </c>
      <c r="G105" s="125" t="s">
        <v>669</v>
      </c>
      <c r="H105" s="125" t="s">
        <v>670</v>
      </c>
      <c r="I105" s="88"/>
      <c r="K105" s="123"/>
      <c r="L105" s="117"/>
      <c r="M105" s="124"/>
      <c r="N105" s="124"/>
      <c r="O105" s="117"/>
      <c r="P105" s="117"/>
      <c r="Q105" s="117"/>
      <c r="R105" s="117"/>
      <c r="S105" s="117"/>
    </row>
    <row r="106" spans="1:19" s="104" customFormat="1" ht="15" customHeight="1" x14ac:dyDescent="0.3">
      <c r="A106" s="101">
        <v>45843</v>
      </c>
      <c r="B106" s="101" t="s">
        <v>93</v>
      </c>
      <c r="C106" s="121">
        <v>4.1666666666666664E-2</v>
      </c>
      <c r="D106" s="121">
        <v>5.2083333333333336E-2</v>
      </c>
      <c r="E106" s="103">
        <f t="shared" si="5"/>
        <v>15.000000000000007</v>
      </c>
      <c r="F106" s="87" t="s">
        <v>658</v>
      </c>
      <c r="G106" s="125" t="s">
        <v>703</v>
      </c>
      <c r="H106" s="125" t="s">
        <v>662</v>
      </c>
      <c r="I106" s="88"/>
      <c r="K106" s="123"/>
      <c r="L106" s="117"/>
      <c r="M106" s="124"/>
      <c r="N106" s="124"/>
      <c r="O106" s="117"/>
      <c r="P106" s="117"/>
      <c r="Q106" s="117"/>
      <c r="R106" s="117"/>
      <c r="S106" s="117"/>
    </row>
    <row r="107" spans="1:19" s="104" customFormat="1" x14ac:dyDescent="0.3">
      <c r="A107" s="101">
        <v>45843</v>
      </c>
      <c r="B107" s="101" t="s">
        <v>93</v>
      </c>
      <c r="C107" s="121">
        <v>5.2083333333333336E-2</v>
      </c>
      <c r="D107" s="121">
        <v>6.25E-2</v>
      </c>
      <c r="E107" s="103">
        <f t="shared" si="5"/>
        <v>14.999999999999996</v>
      </c>
      <c r="F107" s="87" t="s">
        <v>658</v>
      </c>
      <c r="G107" s="125" t="s">
        <v>689</v>
      </c>
      <c r="H107" s="125" t="s">
        <v>662</v>
      </c>
      <c r="I107" s="88"/>
      <c r="K107" s="123"/>
      <c r="L107" s="117"/>
      <c r="M107" s="124"/>
      <c r="N107" s="124"/>
      <c r="O107" s="117"/>
      <c r="P107" s="117"/>
      <c r="Q107" s="117"/>
      <c r="R107" s="117"/>
      <c r="S107" s="117"/>
    </row>
    <row r="108" spans="1:19" s="104" customFormat="1" x14ac:dyDescent="0.3">
      <c r="A108" s="101">
        <v>45843</v>
      </c>
      <c r="B108" s="101" t="s">
        <v>93</v>
      </c>
      <c r="C108" s="121">
        <v>6.25E-2</v>
      </c>
      <c r="D108" s="121">
        <v>0.125</v>
      </c>
      <c r="E108" s="103">
        <f t="shared" si="5"/>
        <v>90</v>
      </c>
      <c r="F108" s="87" t="s">
        <v>658</v>
      </c>
      <c r="G108" s="125" t="s">
        <v>704</v>
      </c>
      <c r="H108" s="125" t="s">
        <v>673</v>
      </c>
      <c r="I108" s="88"/>
      <c r="K108" s="123"/>
      <c r="L108" s="117"/>
      <c r="M108" s="124"/>
      <c r="N108" s="124"/>
      <c r="O108" s="117"/>
      <c r="P108" s="117"/>
      <c r="Q108" s="117"/>
      <c r="R108" s="117"/>
      <c r="S108" s="117"/>
    </row>
    <row r="109" spans="1:19" s="104" customFormat="1" x14ac:dyDescent="0.3">
      <c r="A109" s="101">
        <v>45843</v>
      </c>
      <c r="B109" s="101" t="s">
        <v>93</v>
      </c>
      <c r="C109" s="121">
        <v>0.125</v>
      </c>
      <c r="D109" s="121">
        <v>0.16666666666666666</v>
      </c>
      <c r="E109" s="103">
        <f t="shared" si="5"/>
        <v>59.999999999999986</v>
      </c>
      <c r="F109" s="87" t="s">
        <v>658</v>
      </c>
      <c r="G109" s="125" t="s">
        <v>725</v>
      </c>
      <c r="H109" s="125" t="s">
        <v>695</v>
      </c>
      <c r="I109" s="88"/>
      <c r="K109" s="123"/>
      <c r="L109" s="117"/>
      <c r="M109" s="124"/>
      <c r="N109" s="124"/>
      <c r="O109" s="117"/>
      <c r="P109" s="117"/>
      <c r="Q109" s="117"/>
      <c r="R109" s="117"/>
      <c r="S109" s="117"/>
    </row>
    <row r="110" spans="1:19" s="104" customFormat="1" x14ac:dyDescent="0.3">
      <c r="A110" s="101">
        <v>45843</v>
      </c>
      <c r="B110" s="101" t="s">
        <v>93</v>
      </c>
      <c r="C110" s="121">
        <v>0.16666666666666666</v>
      </c>
      <c r="D110" s="121">
        <v>0.17708333333333334</v>
      </c>
      <c r="E110" s="103">
        <f t="shared" si="5"/>
        <v>15.000000000000027</v>
      </c>
      <c r="F110" s="87" t="s">
        <v>658</v>
      </c>
      <c r="G110" s="125" t="s">
        <v>726</v>
      </c>
      <c r="H110" s="125" t="s">
        <v>727</v>
      </c>
      <c r="I110" s="88"/>
      <c r="K110" s="123"/>
      <c r="L110" s="117"/>
      <c r="M110" s="124"/>
      <c r="N110" s="124"/>
      <c r="O110" s="117"/>
      <c r="P110" s="117"/>
      <c r="Q110" s="117"/>
      <c r="R110" s="117"/>
      <c r="S110" s="117"/>
    </row>
    <row r="111" spans="1:19" s="104" customFormat="1" x14ac:dyDescent="0.3">
      <c r="A111" s="101">
        <v>45843</v>
      </c>
      <c r="B111" s="101" t="s">
        <v>93</v>
      </c>
      <c r="C111" s="121">
        <v>0.17708333333333334</v>
      </c>
      <c r="D111" s="121">
        <v>0.1875</v>
      </c>
      <c r="E111" s="103">
        <f t="shared" si="5"/>
        <v>14.999999999999986</v>
      </c>
      <c r="F111" s="87" t="s">
        <v>658</v>
      </c>
      <c r="G111" s="125" t="s">
        <v>728</v>
      </c>
      <c r="H111" s="125" t="s">
        <v>727</v>
      </c>
      <c r="I111" s="88"/>
      <c r="K111" s="123"/>
      <c r="L111" s="117"/>
      <c r="M111" s="124"/>
      <c r="N111" s="124"/>
      <c r="O111" s="117"/>
      <c r="P111" s="117"/>
      <c r="Q111" s="117"/>
      <c r="R111" s="117"/>
      <c r="S111" s="117"/>
    </row>
    <row r="112" spans="1:19" s="104" customFormat="1" x14ac:dyDescent="0.3">
      <c r="A112" s="101">
        <v>45843</v>
      </c>
      <c r="B112" s="101" t="s">
        <v>93</v>
      </c>
      <c r="C112" s="121">
        <v>0.1875</v>
      </c>
      <c r="D112" s="121">
        <v>0.20833333333333334</v>
      </c>
      <c r="E112" s="103">
        <f t="shared" si="5"/>
        <v>30.000000000000014</v>
      </c>
      <c r="F112" s="87" t="s">
        <v>658</v>
      </c>
      <c r="G112" s="125" t="s">
        <v>709</v>
      </c>
      <c r="H112" s="125" t="s">
        <v>579</v>
      </c>
      <c r="I112" s="88"/>
      <c r="K112" s="123"/>
      <c r="L112" s="117"/>
      <c r="M112" s="124"/>
      <c r="N112" s="124"/>
      <c r="O112" s="117"/>
      <c r="P112" s="117"/>
      <c r="Q112" s="117"/>
      <c r="R112" s="117"/>
      <c r="S112" s="117"/>
    </row>
    <row r="113" spans="1:19" s="104" customFormat="1" x14ac:dyDescent="0.3">
      <c r="A113" s="101">
        <v>45843</v>
      </c>
      <c r="B113" s="101" t="s">
        <v>93</v>
      </c>
      <c r="C113" s="121">
        <v>0.20833333333333334</v>
      </c>
      <c r="D113" s="121">
        <v>0.21875</v>
      </c>
      <c r="E113" s="103">
        <f t="shared" si="5"/>
        <v>14.999999999999986</v>
      </c>
      <c r="F113" s="87" t="s">
        <v>658</v>
      </c>
      <c r="G113" s="125" t="s">
        <v>723</v>
      </c>
      <c r="H113" s="125" t="s">
        <v>662</v>
      </c>
      <c r="I113" s="105"/>
      <c r="K113" s="123"/>
      <c r="L113" s="117"/>
      <c r="M113" s="124"/>
      <c r="N113" s="124"/>
      <c r="O113" s="117"/>
      <c r="P113" s="117"/>
      <c r="Q113" s="117"/>
      <c r="R113" s="117"/>
      <c r="S113" s="117"/>
    </row>
    <row r="114" spans="1:19" s="104" customFormat="1" x14ac:dyDescent="0.3">
      <c r="A114" s="101">
        <v>45843</v>
      </c>
      <c r="B114" s="101" t="s">
        <v>93</v>
      </c>
      <c r="C114" s="121">
        <v>0.21875</v>
      </c>
      <c r="D114" s="121">
        <v>0.25</v>
      </c>
      <c r="E114" s="103">
        <f t="shared" si="5"/>
        <v>45</v>
      </c>
      <c r="F114" s="87" t="s">
        <v>658</v>
      </c>
      <c r="G114" s="125" t="s">
        <v>699</v>
      </c>
      <c r="H114" s="125" t="s">
        <v>662</v>
      </c>
      <c r="I114" s="105"/>
      <c r="K114" s="123"/>
      <c r="L114" s="117"/>
      <c r="M114" s="124"/>
      <c r="N114" s="124"/>
      <c r="O114" s="117"/>
      <c r="P114" s="117"/>
      <c r="Q114" s="117"/>
      <c r="R114" s="117"/>
      <c r="S114" s="117"/>
    </row>
    <row r="115" spans="1:19" s="104" customFormat="1" x14ac:dyDescent="0.3">
      <c r="A115" s="101">
        <v>45843</v>
      </c>
      <c r="B115" s="101" t="s">
        <v>93</v>
      </c>
      <c r="C115" s="126">
        <v>0.25</v>
      </c>
      <c r="D115" s="121">
        <v>0.26041666666666669</v>
      </c>
      <c r="E115" s="103">
        <f t="shared" si="5"/>
        <v>15.000000000000027</v>
      </c>
      <c r="F115" s="87" t="s">
        <v>658</v>
      </c>
      <c r="G115" s="125" t="s">
        <v>714</v>
      </c>
      <c r="H115" s="125" t="s">
        <v>660</v>
      </c>
      <c r="I115" s="105"/>
      <c r="K115" s="123"/>
      <c r="L115" s="117"/>
      <c r="M115" s="124"/>
      <c r="N115" s="124"/>
      <c r="O115" s="117"/>
      <c r="P115" s="117"/>
      <c r="Q115" s="117"/>
      <c r="R115" s="117"/>
      <c r="S115" s="117"/>
    </row>
    <row r="116" spans="1:19" s="104" customFormat="1" x14ac:dyDescent="0.3">
      <c r="A116" s="101">
        <v>45843</v>
      </c>
      <c r="B116" s="101" t="s">
        <v>93</v>
      </c>
      <c r="C116" s="121">
        <v>0.26041666666666669</v>
      </c>
      <c r="D116" s="121">
        <v>0.2638888888888889</v>
      </c>
      <c r="E116" s="103">
        <f t="shared" si="5"/>
        <v>4.9999999999999822</v>
      </c>
      <c r="F116" s="87" t="s">
        <v>658</v>
      </c>
      <c r="G116" s="125" t="s">
        <v>729</v>
      </c>
      <c r="H116" s="125" t="s">
        <v>664</v>
      </c>
      <c r="I116" s="105"/>
      <c r="K116" s="123"/>
      <c r="L116" s="117"/>
      <c r="M116" s="124"/>
      <c r="N116" s="124"/>
      <c r="O116" s="117"/>
      <c r="P116" s="117"/>
      <c r="Q116" s="117"/>
      <c r="R116" s="117"/>
      <c r="S116" s="117"/>
    </row>
    <row r="117" spans="1:19" s="104" customFormat="1" x14ac:dyDescent="0.3">
      <c r="A117" s="101">
        <v>45843</v>
      </c>
      <c r="B117" s="101" t="s">
        <v>93</v>
      </c>
      <c r="C117" s="121">
        <v>0.2638888888888889</v>
      </c>
      <c r="D117" s="121">
        <v>0.27083333333333331</v>
      </c>
      <c r="E117" s="103">
        <f t="shared" si="5"/>
        <v>9.9999999999999645</v>
      </c>
      <c r="F117" s="87" t="s">
        <v>658</v>
      </c>
      <c r="G117" s="127" t="s">
        <v>730</v>
      </c>
      <c r="H117" s="128" t="s">
        <v>662</v>
      </c>
      <c r="I117" s="105"/>
      <c r="K117" s="123"/>
      <c r="L117" s="117"/>
      <c r="M117" s="124"/>
      <c r="N117" s="124"/>
      <c r="O117" s="117"/>
      <c r="P117" s="117"/>
      <c r="Q117" s="117"/>
      <c r="R117" s="117"/>
      <c r="S117" s="117"/>
    </row>
    <row r="118" spans="1:19" s="104" customFormat="1" x14ac:dyDescent="0.3">
      <c r="A118" s="101">
        <v>45843</v>
      </c>
      <c r="B118" s="101" t="s">
        <v>93</v>
      </c>
      <c r="C118" s="126">
        <v>0.27083333333333331</v>
      </c>
      <c r="D118" s="126">
        <v>0.28125</v>
      </c>
      <c r="E118" s="129">
        <f t="shared" si="5"/>
        <v>15.000000000000027</v>
      </c>
      <c r="F118" s="130" t="s">
        <v>658</v>
      </c>
      <c r="G118" s="128" t="s">
        <v>731</v>
      </c>
      <c r="H118" s="128" t="s">
        <v>664</v>
      </c>
      <c r="I118" s="105"/>
      <c r="K118" s="123"/>
      <c r="L118" s="117"/>
      <c r="M118" s="124"/>
      <c r="N118" s="124"/>
      <c r="O118" s="117"/>
      <c r="P118" s="117"/>
      <c r="Q118" s="117"/>
      <c r="R118" s="117"/>
      <c r="S118" s="117"/>
    </row>
    <row r="119" spans="1:19" s="104" customFormat="1" x14ac:dyDescent="0.3">
      <c r="A119" s="101">
        <v>45843</v>
      </c>
      <c r="B119" s="107" t="s">
        <v>93</v>
      </c>
      <c r="C119" s="131">
        <v>0.28125</v>
      </c>
      <c r="D119" s="131">
        <v>0.29166666666666669</v>
      </c>
      <c r="E119" s="132">
        <f t="shared" si="5"/>
        <v>15.000000000000027</v>
      </c>
      <c r="F119" s="133" t="s">
        <v>658</v>
      </c>
      <c r="G119" s="134" t="s">
        <v>715</v>
      </c>
      <c r="H119" s="134" t="s">
        <v>662</v>
      </c>
      <c r="I119" s="135"/>
      <c r="K119" s="123"/>
      <c r="L119" s="117"/>
      <c r="M119" s="124"/>
      <c r="N119" s="124"/>
      <c r="O119" s="117"/>
      <c r="P119" s="117"/>
      <c r="Q119" s="117"/>
      <c r="R119" s="117"/>
      <c r="S119" s="117"/>
    </row>
    <row r="120" spans="1:19" s="104" customFormat="1" ht="14.25" customHeight="1" x14ac:dyDescent="0.3">
      <c r="A120" s="108"/>
      <c r="B120" s="108"/>
      <c r="C120" s="108"/>
      <c r="D120" s="108"/>
      <c r="E120" s="108"/>
      <c r="F120" s="108"/>
      <c r="G120" s="108"/>
      <c r="H120" s="108"/>
      <c r="I120" s="108"/>
      <c r="K120" s="136"/>
      <c r="L120" s="136"/>
      <c r="M120" s="136"/>
      <c r="N120" s="136"/>
      <c r="O120" s="136"/>
      <c r="P120" s="136"/>
      <c r="Q120" s="136"/>
      <c r="R120" s="136"/>
      <c r="S120" s="136"/>
    </row>
    <row r="121" spans="1:19" s="104" customFormat="1" ht="26.4" x14ac:dyDescent="0.3">
      <c r="A121" s="114" t="s">
        <v>1</v>
      </c>
      <c r="B121" s="114" t="s">
        <v>2</v>
      </c>
      <c r="C121" s="115" t="s">
        <v>3</v>
      </c>
      <c r="D121" s="116"/>
      <c r="E121" s="114" t="s">
        <v>4</v>
      </c>
      <c r="F121" s="114" t="s">
        <v>5</v>
      </c>
      <c r="G121" s="137" t="s">
        <v>6</v>
      </c>
      <c r="H121" s="114" t="s">
        <v>7</v>
      </c>
      <c r="I121" s="114" t="s">
        <v>8</v>
      </c>
      <c r="K121" s="117"/>
      <c r="L121" s="117"/>
      <c r="M121" s="117"/>
      <c r="N121" s="117"/>
      <c r="O121" s="117"/>
      <c r="P121" s="117"/>
      <c r="Q121" s="117"/>
      <c r="R121" s="117"/>
      <c r="S121" s="117"/>
    </row>
    <row r="122" spans="1:19" s="104" customFormat="1" x14ac:dyDescent="0.3">
      <c r="A122" s="118"/>
      <c r="B122" s="118"/>
      <c r="C122" s="119" t="s">
        <v>9</v>
      </c>
      <c r="D122" s="119" t="s">
        <v>10</v>
      </c>
      <c r="E122" s="118"/>
      <c r="F122" s="120"/>
      <c r="G122" s="138"/>
      <c r="H122" s="120"/>
      <c r="I122" s="120"/>
      <c r="K122" s="117"/>
      <c r="L122" s="117"/>
      <c r="M122" s="117"/>
      <c r="N122" s="117"/>
      <c r="O122" s="117"/>
      <c r="P122" s="117"/>
      <c r="Q122" s="117"/>
      <c r="R122" s="117"/>
      <c r="S122" s="117"/>
    </row>
    <row r="123" spans="1:19" s="104" customFormat="1" x14ac:dyDescent="0.3">
      <c r="A123" s="139">
        <v>45844</v>
      </c>
      <c r="B123" s="125" t="s">
        <v>732</v>
      </c>
      <c r="C123" s="121">
        <v>0.91666666666666663</v>
      </c>
      <c r="D123" s="121">
        <v>0.92708333333333337</v>
      </c>
      <c r="E123" s="103">
        <f>(D123-C123)*1440</f>
        <v>15.000000000000107</v>
      </c>
      <c r="F123" s="122" t="s">
        <v>658</v>
      </c>
      <c r="G123" s="122" t="s">
        <v>659</v>
      </c>
      <c r="H123" s="122" t="s">
        <v>660</v>
      </c>
      <c r="I123" s="122"/>
      <c r="K123" s="123"/>
      <c r="L123" s="117"/>
      <c r="M123" s="124"/>
      <c r="N123" s="124"/>
      <c r="O123" s="117"/>
      <c r="P123" s="117"/>
      <c r="Q123" s="117"/>
      <c r="R123" s="117"/>
      <c r="S123" s="117"/>
    </row>
    <row r="124" spans="1:19" s="104" customFormat="1" x14ac:dyDescent="0.3">
      <c r="A124" s="139">
        <v>45844</v>
      </c>
      <c r="B124" s="125" t="s">
        <v>732</v>
      </c>
      <c r="C124" s="121">
        <v>0.92708333333333337</v>
      </c>
      <c r="D124" s="121">
        <v>0.9375</v>
      </c>
      <c r="E124" s="103">
        <f>(D124-C124)*1440</f>
        <v>14.999999999999947</v>
      </c>
      <c r="F124" s="122" t="s">
        <v>658</v>
      </c>
      <c r="G124" s="125" t="s">
        <v>701</v>
      </c>
      <c r="H124" s="122" t="s">
        <v>662</v>
      </c>
      <c r="I124" s="122"/>
      <c r="K124" s="123"/>
      <c r="L124" s="117"/>
      <c r="M124" s="124"/>
      <c r="N124" s="124"/>
      <c r="O124" s="117"/>
      <c r="P124" s="117"/>
      <c r="Q124" s="117"/>
      <c r="R124" s="117"/>
      <c r="S124" s="117"/>
    </row>
    <row r="125" spans="1:19" s="104" customFormat="1" x14ac:dyDescent="0.3">
      <c r="A125" s="139">
        <v>45844</v>
      </c>
      <c r="B125" s="125" t="s">
        <v>732</v>
      </c>
      <c r="C125" s="121">
        <v>0.9375</v>
      </c>
      <c r="D125" s="121">
        <v>0.95833333333333337</v>
      </c>
      <c r="E125" s="103">
        <f>(D125-C125)*1440</f>
        <v>30.000000000000053</v>
      </c>
      <c r="F125" s="122" t="s">
        <v>658</v>
      </c>
      <c r="G125" s="125" t="s">
        <v>687</v>
      </c>
      <c r="H125" s="122" t="s">
        <v>662</v>
      </c>
      <c r="I125" s="122"/>
      <c r="K125" s="123"/>
      <c r="L125" s="117"/>
      <c r="M125" s="124"/>
      <c r="N125" s="124"/>
      <c r="O125" s="117"/>
      <c r="P125" s="117"/>
      <c r="Q125" s="117"/>
      <c r="R125" s="117"/>
      <c r="S125" s="117"/>
    </row>
    <row r="126" spans="1:19" s="104" customFormat="1" x14ac:dyDescent="0.3">
      <c r="A126" s="139">
        <v>45844</v>
      </c>
      <c r="B126" s="125" t="s">
        <v>732</v>
      </c>
      <c r="C126" s="121">
        <v>0.95833333333333337</v>
      </c>
      <c r="D126" s="121">
        <v>0.96875</v>
      </c>
      <c r="E126" s="103">
        <f t="shared" ref="E126:E142" si="6">(D126-C126)*1440</f>
        <v>14.999999999999947</v>
      </c>
      <c r="F126" s="122" t="s">
        <v>658</v>
      </c>
      <c r="G126" s="122" t="s">
        <v>716</v>
      </c>
      <c r="H126" s="122" t="s">
        <v>664</v>
      </c>
      <c r="I126" s="122"/>
      <c r="K126" s="123"/>
      <c r="L126" s="117"/>
      <c r="M126" s="124"/>
      <c r="N126" s="124"/>
      <c r="O126" s="117"/>
      <c r="P126" s="117"/>
      <c r="Q126" s="117"/>
      <c r="R126" s="117"/>
      <c r="S126" s="117"/>
    </row>
    <row r="127" spans="1:19" s="104" customFormat="1" x14ac:dyDescent="0.3">
      <c r="A127" s="139">
        <v>45844</v>
      </c>
      <c r="B127" s="125" t="s">
        <v>732</v>
      </c>
      <c r="C127" s="121">
        <v>0.96875</v>
      </c>
      <c r="D127" s="102">
        <v>1</v>
      </c>
      <c r="E127" s="103">
        <f t="shared" si="6"/>
        <v>45</v>
      </c>
      <c r="F127" s="122" t="s">
        <v>658</v>
      </c>
      <c r="G127" s="122" t="s">
        <v>733</v>
      </c>
      <c r="H127" s="122" t="s">
        <v>662</v>
      </c>
      <c r="I127" s="122"/>
      <c r="K127" s="123"/>
      <c r="L127" s="117"/>
      <c r="M127" s="124"/>
      <c r="N127" s="124"/>
      <c r="O127" s="117"/>
      <c r="P127" s="117"/>
      <c r="Q127" s="117"/>
      <c r="R127" s="117"/>
      <c r="S127" s="117"/>
    </row>
    <row r="128" spans="1:19" s="104" customFormat="1" x14ac:dyDescent="0.3">
      <c r="A128" s="139">
        <v>45844</v>
      </c>
      <c r="B128" s="125" t="s">
        <v>732</v>
      </c>
      <c r="C128" s="121">
        <v>0</v>
      </c>
      <c r="D128" s="121">
        <v>4.1666666666666664E-2</v>
      </c>
      <c r="E128" s="103">
        <f t="shared" si="6"/>
        <v>60</v>
      </c>
      <c r="F128" s="122" t="s">
        <v>658</v>
      </c>
      <c r="G128" s="125" t="s">
        <v>669</v>
      </c>
      <c r="H128" s="125" t="s">
        <v>662</v>
      </c>
      <c r="I128" s="125"/>
      <c r="K128" s="123"/>
      <c r="L128" s="117"/>
      <c r="M128" s="124"/>
      <c r="N128" s="124"/>
      <c r="O128" s="117"/>
      <c r="P128" s="117"/>
      <c r="Q128" s="117"/>
      <c r="R128" s="117"/>
      <c r="S128" s="117"/>
    </row>
    <row r="129" spans="1:19" s="104" customFormat="1" x14ac:dyDescent="0.3">
      <c r="A129" s="139">
        <v>45844</v>
      </c>
      <c r="B129" s="125" t="s">
        <v>732</v>
      </c>
      <c r="C129" s="121">
        <v>4.1666666666666664E-2</v>
      </c>
      <c r="D129" s="121">
        <v>7.2916666666666671E-2</v>
      </c>
      <c r="E129" s="103">
        <f t="shared" si="6"/>
        <v>45.000000000000007</v>
      </c>
      <c r="F129" s="122" t="s">
        <v>658</v>
      </c>
      <c r="G129" s="122" t="s">
        <v>734</v>
      </c>
      <c r="H129" s="125" t="s">
        <v>673</v>
      </c>
      <c r="I129" s="125"/>
      <c r="K129" s="123"/>
      <c r="L129" s="117"/>
      <c r="M129" s="124"/>
      <c r="N129" s="124"/>
      <c r="O129" s="117"/>
      <c r="P129" s="117"/>
      <c r="Q129" s="117"/>
      <c r="R129" s="117"/>
      <c r="S129" s="117"/>
    </row>
    <row r="130" spans="1:19" s="104" customFormat="1" x14ac:dyDescent="0.3">
      <c r="A130" s="139">
        <v>45844</v>
      </c>
      <c r="B130" s="125" t="s">
        <v>732</v>
      </c>
      <c r="C130" s="121">
        <v>7.2916666666666671E-2</v>
      </c>
      <c r="D130" s="121">
        <v>9.375E-2</v>
      </c>
      <c r="E130" s="103">
        <f t="shared" si="6"/>
        <v>29.999999999999993</v>
      </c>
      <c r="F130" s="122" t="s">
        <v>658</v>
      </c>
      <c r="G130" s="125" t="s">
        <v>735</v>
      </c>
      <c r="H130" s="125" t="s">
        <v>673</v>
      </c>
      <c r="I130" s="125"/>
      <c r="K130" s="123"/>
      <c r="L130" s="117"/>
      <c r="M130" s="124"/>
      <c r="N130" s="124"/>
      <c r="O130" s="117"/>
      <c r="P130" s="117"/>
      <c r="Q130" s="117"/>
      <c r="R130" s="117"/>
      <c r="S130" s="117"/>
    </row>
    <row r="131" spans="1:19" s="104" customFormat="1" x14ac:dyDescent="0.3">
      <c r="A131" s="139">
        <v>45844</v>
      </c>
      <c r="B131" s="125" t="s">
        <v>732</v>
      </c>
      <c r="C131" s="121">
        <v>9.375E-2</v>
      </c>
      <c r="D131" s="121">
        <v>0.15625</v>
      </c>
      <c r="E131" s="103">
        <f t="shared" si="6"/>
        <v>90</v>
      </c>
      <c r="F131" s="122" t="s">
        <v>658</v>
      </c>
      <c r="G131" s="125" t="s">
        <v>736</v>
      </c>
      <c r="H131" s="125" t="s">
        <v>673</v>
      </c>
      <c r="I131" s="125"/>
      <c r="K131" s="123"/>
      <c r="L131" s="117"/>
      <c r="M131" s="124"/>
      <c r="N131" s="124"/>
      <c r="O131" s="117"/>
      <c r="P131" s="117"/>
      <c r="Q131" s="117"/>
      <c r="R131" s="117"/>
      <c r="S131" s="117"/>
    </row>
    <row r="132" spans="1:19" s="104" customFormat="1" ht="15" customHeight="1" x14ac:dyDescent="0.3">
      <c r="A132" s="139">
        <v>45844</v>
      </c>
      <c r="B132" s="125" t="s">
        <v>732</v>
      </c>
      <c r="C132" s="121">
        <v>0.15625</v>
      </c>
      <c r="D132" s="121">
        <v>0.19791666666666666</v>
      </c>
      <c r="E132" s="103">
        <f t="shared" si="6"/>
        <v>59.999999999999986</v>
      </c>
      <c r="F132" s="122" t="s">
        <v>658</v>
      </c>
      <c r="G132" s="125" t="s">
        <v>737</v>
      </c>
      <c r="H132" s="125" t="s">
        <v>673</v>
      </c>
      <c r="I132" s="125"/>
      <c r="K132" s="123"/>
      <c r="L132" s="117"/>
      <c r="M132" s="124"/>
      <c r="N132" s="124"/>
      <c r="O132" s="117"/>
      <c r="P132" s="117"/>
      <c r="Q132" s="117"/>
      <c r="R132" s="117"/>
      <c r="S132" s="117"/>
    </row>
    <row r="133" spans="1:19" s="104" customFormat="1" x14ac:dyDescent="0.3">
      <c r="A133" s="139">
        <v>45844</v>
      </c>
      <c r="B133" s="125" t="s">
        <v>732</v>
      </c>
      <c r="C133" s="121">
        <v>0.19791666666666666</v>
      </c>
      <c r="D133" s="121">
        <v>0.21875</v>
      </c>
      <c r="E133" s="103">
        <f t="shared" si="6"/>
        <v>30.000000000000014</v>
      </c>
      <c r="F133" s="122" t="s">
        <v>658</v>
      </c>
      <c r="G133" s="125" t="s">
        <v>709</v>
      </c>
      <c r="H133" s="125" t="s">
        <v>579</v>
      </c>
      <c r="I133" s="125"/>
      <c r="K133" s="123"/>
      <c r="L133" s="117"/>
      <c r="M133" s="124"/>
      <c r="N133" s="124"/>
      <c r="O133" s="117"/>
      <c r="P133" s="117"/>
      <c r="Q133" s="117"/>
      <c r="R133" s="117"/>
      <c r="S133" s="117"/>
    </row>
    <row r="134" spans="1:19" s="104" customFormat="1" ht="26.4" x14ac:dyDescent="0.3">
      <c r="A134" s="139">
        <v>45844</v>
      </c>
      <c r="B134" s="125" t="s">
        <v>732</v>
      </c>
      <c r="C134" s="121">
        <v>0.21875</v>
      </c>
      <c r="D134" s="121">
        <v>0.23958333333333334</v>
      </c>
      <c r="E134" s="103">
        <f t="shared" si="6"/>
        <v>30.000000000000014</v>
      </c>
      <c r="F134" s="122" t="s">
        <v>658</v>
      </c>
      <c r="G134" s="125" t="s">
        <v>738</v>
      </c>
      <c r="H134" s="125" t="s">
        <v>739</v>
      </c>
      <c r="I134" s="125"/>
      <c r="K134" s="123"/>
      <c r="L134" s="117"/>
      <c r="M134" s="124"/>
      <c r="N134" s="124"/>
      <c r="O134" s="117"/>
      <c r="P134" s="117"/>
      <c r="Q134" s="117"/>
      <c r="R134" s="117"/>
      <c r="S134" s="117"/>
    </row>
    <row r="135" spans="1:19" s="104" customFormat="1" x14ac:dyDescent="0.3">
      <c r="A135" s="139">
        <v>45844</v>
      </c>
      <c r="B135" s="125" t="s">
        <v>732</v>
      </c>
      <c r="C135" s="121">
        <v>0.23958333333333334</v>
      </c>
      <c r="D135" s="121">
        <v>0.26041666666666669</v>
      </c>
      <c r="E135" s="103">
        <f t="shared" si="6"/>
        <v>30.000000000000014</v>
      </c>
      <c r="F135" s="122" t="s">
        <v>658</v>
      </c>
      <c r="G135" s="125" t="s">
        <v>699</v>
      </c>
      <c r="H135" s="125" t="s">
        <v>664</v>
      </c>
      <c r="I135" s="125"/>
      <c r="K135" s="123"/>
      <c r="L135" s="117"/>
      <c r="M135" s="124"/>
      <c r="N135" s="124"/>
      <c r="O135" s="117"/>
      <c r="P135" s="117"/>
      <c r="Q135" s="117"/>
      <c r="R135" s="117"/>
      <c r="S135" s="117"/>
    </row>
    <row r="136" spans="1:19" s="104" customFormat="1" x14ac:dyDescent="0.3">
      <c r="A136" s="139">
        <v>45844</v>
      </c>
      <c r="B136" s="125" t="s">
        <v>732</v>
      </c>
      <c r="C136" s="121">
        <v>0.26041666666666669</v>
      </c>
      <c r="D136" s="121">
        <v>0.27083333333333331</v>
      </c>
      <c r="E136" s="103">
        <f t="shared" si="6"/>
        <v>14.999999999999947</v>
      </c>
      <c r="F136" s="122" t="s">
        <v>658</v>
      </c>
      <c r="G136" s="125" t="s">
        <v>740</v>
      </c>
      <c r="H136" s="125" t="s">
        <v>664</v>
      </c>
      <c r="I136" s="125"/>
      <c r="K136" s="123"/>
      <c r="L136" s="117"/>
      <c r="M136" s="124"/>
      <c r="N136" s="124"/>
      <c r="O136" s="117"/>
      <c r="P136" s="117"/>
      <c r="Q136" s="117"/>
      <c r="R136" s="117"/>
      <c r="S136" s="117"/>
    </row>
    <row r="137" spans="1:19" s="104" customFormat="1" x14ac:dyDescent="0.3">
      <c r="A137" s="139">
        <v>45844</v>
      </c>
      <c r="B137" s="125" t="s">
        <v>732</v>
      </c>
      <c r="C137" s="121">
        <v>0.27083333333333331</v>
      </c>
      <c r="D137" s="121">
        <v>0.27777777777777779</v>
      </c>
      <c r="E137" s="103">
        <f t="shared" si="6"/>
        <v>10.000000000000044</v>
      </c>
      <c r="F137" s="122" t="s">
        <v>658</v>
      </c>
      <c r="G137" s="125" t="s">
        <v>741</v>
      </c>
      <c r="H137" s="125" t="s">
        <v>662</v>
      </c>
      <c r="I137" s="125"/>
      <c r="K137" s="123"/>
      <c r="L137" s="117"/>
      <c r="M137" s="124"/>
      <c r="N137" s="124"/>
      <c r="O137" s="117"/>
      <c r="P137" s="117"/>
      <c r="Q137" s="117"/>
      <c r="R137" s="117"/>
      <c r="S137" s="117"/>
    </row>
    <row r="138" spans="1:19" s="104" customFormat="1" x14ac:dyDescent="0.3">
      <c r="A138" s="139">
        <v>45844</v>
      </c>
      <c r="B138" s="125" t="s">
        <v>732</v>
      </c>
      <c r="C138" s="121">
        <v>0.27777777777777779</v>
      </c>
      <c r="D138" s="121">
        <v>0.28472222222222221</v>
      </c>
      <c r="E138" s="103">
        <f t="shared" si="6"/>
        <v>9.9999999999999645</v>
      </c>
      <c r="F138" s="122" t="s">
        <v>658</v>
      </c>
      <c r="G138" s="125" t="s">
        <v>742</v>
      </c>
      <c r="H138" s="125" t="s">
        <v>662</v>
      </c>
      <c r="I138" s="125"/>
      <c r="K138" s="123"/>
      <c r="L138" s="117"/>
      <c r="M138" s="124"/>
      <c r="N138" s="124"/>
      <c r="O138" s="117"/>
      <c r="P138" s="117"/>
      <c r="Q138" s="117"/>
      <c r="R138" s="117"/>
      <c r="S138" s="117"/>
    </row>
    <row r="139" spans="1:19" s="104" customFormat="1" x14ac:dyDescent="0.3">
      <c r="A139" s="139">
        <v>45844</v>
      </c>
      <c r="B139" s="125" t="s">
        <v>732</v>
      </c>
      <c r="C139" s="121">
        <v>0.28472222222222221</v>
      </c>
      <c r="D139" s="121">
        <v>0.29166666666666669</v>
      </c>
      <c r="E139" s="103">
        <f t="shared" si="6"/>
        <v>10.000000000000044</v>
      </c>
      <c r="F139" s="122" t="s">
        <v>658</v>
      </c>
      <c r="G139" s="125" t="s">
        <v>743</v>
      </c>
      <c r="H139" s="125" t="s">
        <v>662</v>
      </c>
      <c r="I139" s="125"/>
      <c r="K139" s="123"/>
      <c r="L139" s="117"/>
      <c r="M139" s="124"/>
      <c r="N139" s="124"/>
      <c r="O139" s="117"/>
      <c r="P139" s="117"/>
      <c r="Q139" s="117"/>
      <c r="R139" s="117"/>
      <c r="S139" s="117"/>
    </row>
    <row r="140" spans="1:19" s="104" customFormat="1" x14ac:dyDescent="0.3">
      <c r="A140" s="139">
        <v>45844</v>
      </c>
      <c r="B140" s="125" t="s">
        <v>732</v>
      </c>
      <c r="C140" s="121">
        <v>0.29166666666666669</v>
      </c>
      <c r="D140" s="121">
        <v>0.30208333333333331</v>
      </c>
      <c r="E140" s="103">
        <f t="shared" si="6"/>
        <v>14.999999999999947</v>
      </c>
      <c r="F140" s="122" t="s">
        <v>658</v>
      </c>
      <c r="G140" s="125" t="s">
        <v>744</v>
      </c>
      <c r="H140" s="125" t="s">
        <v>662</v>
      </c>
      <c r="I140" s="125"/>
      <c r="K140" s="123"/>
      <c r="L140" s="117"/>
      <c r="M140" s="124"/>
      <c r="N140" s="124"/>
      <c r="O140" s="117"/>
      <c r="P140" s="117"/>
      <c r="Q140" s="117"/>
      <c r="R140" s="117"/>
      <c r="S140" s="117"/>
    </row>
    <row r="141" spans="1:19" s="104" customFormat="1" x14ac:dyDescent="0.3">
      <c r="A141" s="139">
        <v>45844</v>
      </c>
      <c r="B141" s="125" t="s">
        <v>732</v>
      </c>
      <c r="C141" s="121">
        <v>0.30208333333333331</v>
      </c>
      <c r="D141" s="121">
        <v>0.3125</v>
      </c>
      <c r="E141" s="103">
        <f t="shared" si="6"/>
        <v>15.000000000000027</v>
      </c>
      <c r="F141" s="140" t="s">
        <v>658</v>
      </c>
      <c r="G141" s="125" t="s">
        <v>745</v>
      </c>
      <c r="H141" s="125" t="s">
        <v>662</v>
      </c>
      <c r="I141" s="125"/>
      <c r="K141" s="123"/>
      <c r="L141" s="117"/>
      <c r="M141" s="124"/>
      <c r="N141" s="124"/>
      <c r="O141" s="117"/>
      <c r="P141" s="117"/>
      <c r="Q141" s="117"/>
      <c r="R141" s="117"/>
      <c r="S141" s="117"/>
    </row>
    <row r="142" spans="1:19" s="104" customFormat="1" x14ac:dyDescent="0.3">
      <c r="A142" s="139">
        <v>45844</v>
      </c>
      <c r="B142" s="125" t="s">
        <v>732</v>
      </c>
      <c r="C142" s="121">
        <v>0.3125</v>
      </c>
      <c r="D142" s="141">
        <v>0.33333333333333331</v>
      </c>
      <c r="E142" s="142">
        <f t="shared" si="6"/>
        <v>29.999999999999972</v>
      </c>
      <c r="F142" s="143" t="s">
        <v>658</v>
      </c>
      <c r="G142" s="144" t="s">
        <v>746</v>
      </c>
      <c r="H142" s="143" t="s">
        <v>739</v>
      </c>
      <c r="I142" s="143"/>
      <c r="K142" s="123"/>
      <c r="L142" s="117"/>
      <c r="M142" s="124"/>
      <c r="N142" s="124"/>
      <c r="O142" s="117"/>
      <c r="P142" s="117"/>
      <c r="Q142" s="117"/>
      <c r="R142" s="117"/>
      <c r="S142" s="117"/>
    </row>
    <row r="143" spans="1:19" s="104" customFormat="1" x14ac:dyDescent="0.3">
      <c r="A143" s="108"/>
      <c r="B143" s="108"/>
      <c r="C143" s="108"/>
      <c r="D143" s="108"/>
      <c r="E143" s="108"/>
      <c r="F143" s="108"/>
      <c r="G143" s="108"/>
      <c r="H143" s="108"/>
      <c r="I143" s="108"/>
    </row>
    <row r="144" spans="1:19" s="104" customFormat="1" ht="26.4" x14ac:dyDescent="0.3">
      <c r="A144" s="114" t="s">
        <v>1</v>
      </c>
      <c r="B144" s="114" t="s">
        <v>2</v>
      </c>
      <c r="C144" s="115" t="s">
        <v>3</v>
      </c>
      <c r="D144" s="116"/>
      <c r="E144" s="114" t="s">
        <v>4</v>
      </c>
      <c r="F144" s="114" t="s">
        <v>5</v>
      </c>
      <c r="G144" s="137" t="s">
        <v>6</v>
      </c>
      <c r="H144" s="114" t="s">
        <v>7</v>
      </c>
      <c r="I144" s="114" t="s">
        <v>8</v>
      </c>
    </row>
    <row r="145" spans="1:9" s="104" customFormat="1" x14ac:dyDescent="0.3">
      <c r="A145" s="118"/>
      <c r="B145" s="118"/>
      <c r="C145" s="119" t="s">
        <v>9</v>
      </c>
      <c r="D145" s="119" t="s">
        <v>10</v>
      </c>
      <c r="E145" s="118"/>
      <c r="F145" s="120"/>
      <c r="G145" s="138"/>
      <c r="H145" s="120"/>
      <c r="I145" s="120"/>
    </row>
    <row r="146" spans="1:9" s="104" customFormat="1" x14ac:dyDescent="0.3">
      <c r="A146" s="139">
        <v>45845</v>
      </c>
      <c r="B146" s="125" t="s">
        <v>747</v>
      </c>
      <c r="C146" s="121">
        <v>0.58333333333333337</v>
      </c>
      <c r="D146" s="121">
        <v>0.61805555555555558</v>
      </c>
      <c r="E146" s="103">
        <f>(D146-C146)*1440</f>
        <v>49.999999999999986</v>
      </c>
      <c r="F146" s="122" t="s">
        <v>658</v>
      </c>
      <c r="G146" s="122" t="s">
        <v>748</v>
      </c>
      <c r="H146" s="122" t="s">
        <v>660</v>
      </c>
      <c r="I146" s="122"/>
    </row>
    <row r="147" spans="1:9" s="104" customFormat="1" x14ac:dyDescent="0.3">
      <c r="A147" s="139">
        <v>45845</v>
      </c>
      <c r="B147" s="125" t="s">
        <v>747</v>
      </c>
      <c r="C147" s="121">
        <v>0.61805555555555558</v>
      </c>
      <c r="D147" s="121">
        <v>0.625</v>
      </c>
      <c r="E147" s="103">
        <f>(D147-C147)*1440</f>
        <v>9.9999999999999645</v>
      </c>
      <c r="F147" s="122" t="s">
        <v>658</v>
      </c>
      <c r="G147" s="125" t="s">
        <v>714</v>
      </c>
      <c r="H147" s="122" t="s">
        <v>662</v>
      </c>
      <c r="I147" s="122"/>
    </row>
    <row r="148" spans="1:9" s="104" customFormat="1" x14ac:dyDescent="0.3">
      <c r="A148" s="139">
        <v>45845</v>
      </c>
      <c r="B148" s="125" t="s">
        <v>747</v>
      </c>
      <c r="C148" s="121">
        <v>0.625</v>
      </c>
      <c r="D148" s="121">
        <v>0.63541666666666663</v>
      </c>
      <c r="E148" s="103">
        <f>(D148-C148)*1440</f>
        <v>14.999999999999947</v>
      </c>
      <c r="F148" s="122" t="s">
        <v>658</v>
      </c>
      <c r="G148" s="125" t="s">
        <v>749</v>
      </c>
      <c r="H148" s="122" t="s">
        <v>662</v>
      </c>
      <c r="I148" s="122"/>
    </row>
    <row r="149" spans="1:9" s="104" customFormat="1" x14ac:dyDescent="0.3">
      <c r="A149" s="139">
        <v>45845</v>
      </c>
      <c r="B149" s="125" t="s">
        <v>747</v>
      </c>
      <c r="C149" s="121">
        <v>0.63541666666666663</v>
      </c>
      <c r="D149" s="121">
        <v>0.64236111111111116</v>
      </c>
      <c r="E149" s="103">
        <f t="shared" ref="E149:E160" si="7">(D149-C149)*1440</f>
        <v>10.000000000000124</v>
      </c>
      <c r="F149" s="122" t="s">
        <v>658</v>
      </c>
      <c r="G149" s="122" t="s">
        <v>750</v>
      </c>
      <c r="H149" s="122" t="s">
        <v>664</v>
      </c>
      <c r="I149" s="122"/>
    </row>
    <row r="150" spans="1:9" s="104" customFormat="1" x14ac:dyDescent="0.3">
      <c r="A150" s="139">
        <v>45845</v>
      </c>
      <c r="B150" s="125" t="s">
        <v>747</v>
      </c>
      <c r="C150" s="121">
        <v>0.64236111111111116</v>
      </c>
      <c r="D150" s="121">
        <v>0.68402777777777779</v>
      </c>
      <c r="E150" s="103">
        <f t="shared" si="7"/>
        <v>59.999999999999943</v>
      </c>
      <c r="F150" s="122" t="s">
        <v>658</v>
      </c>
      <c r="G150" s="122" t="s">
        <v>751</v>
      </c>
      <c r="H150" s="122" t="s">
        <v>662</v>
      </c>
      <c r="I150" s="122"/>
    </row>
    <row r="151" spans="1:9" s="104" customFormat="1" x14ac:dyDescent="0.3">
      <c r="A151" s="139">
        <v>45845</v>
      </c>
      <c r="B151" s="125" t="s">
        <v>747</v>
      </c>
      <c r="C151" s="121">
        <v>0.68402777777777779</v>
      </c>
      <c r="D151" s="121">
        <v>0.69444444444444442</v>
      </c>
      <c r="E151" s="103">
        <f t="shared" si="7"/>
        <v>14.999999999999947</v>
      </c>
      <c r="F151" s="122" t="s">
        <v>658</v>
      </c>
      <c r="G151" s="125" t="s">
        <v>752</v>
      </c>
      <c r="H151" s="125" t="s">
        <v>662</v>
      </c>
      <c r="I151" s="125"/>
    </row>
    <row r="152" spans="1:9" s="104" customFormat="1" x14ac:dyDescent="0.3">
      <c r="A152" s="139">
        <v>45845</v>
      </c>
      <c r="B152" s="125" t="s">
        <v>747</v>
      </c>
      <c r="C152" s="121">
        <v>0.69444444444444442</v>
      </c>
      <c r="D152" s="121">
        <v>0.71527777777777779</v>
      </c>
      <c r="E152" s="103">
        <f t="shared" si="7"/>
        <v>30.000000000000053</v>
      </c>
      <c r="F152" s="122" t="s">
        <v>658</v>
      </c>
      <c r="G152" s="122" t="s">
        <v>753</v>
      </c>
      <c r="H152" s="125" t="s">
        <v>673</v>
      </c>
      <c r="I152" s="125"/>
    </row>
    <row r="153" spans="1:9" s="104" customFormat="1" x14ac:dyDescent="0.3">
      <c r="A153" s="139">
        <v>45845</v>
      </c>
      <c r="B153" s="125" t="s">
        <v>747</v>
      </c>
      <c r="C153" s="121">
        <v>0.71527777777777779</v>
      </c>
      <c r="D153" s="121">
        <v>0.75694444444444442</v>
      </c>
      <c r="E153" s="103">
        <f t="shared" si="7"/>
        <v>59.999999999999943</v>
      </c>
      <c r="F153" s="122" t="s">
        <v>658</v>
      </c>
      <c r="G153" s="125" t="s">
        <v>754</v>
      </c>
      <c r="H153" s="125" t="s">
        <v>673</v>
      </c>
      <c r="I153" s="125"/>
    </row>
    <row r="154" spans="1:9" s="104" customFormat="1" x14ac:dyDescent="0.3">
      <c r="A154" s="139">
        <v>45845</v>
      </c>
      <c r="B154" s="125" t="s">
        <v>747</v>
      </c>
      <c r="C154" s="121">
        <v>0.75694444444444442</v>
      </c>
      <c r="D154" s="121">
        <v>0.79861111111111116</v>
      </c>
      <c r="E154" s="103">
        <f t="shared" si="7"/>
        <v>60.000000000000107</v>
      </c>
      <c r="F154" s="122" t="s">
        <v>658</v>
      </c>
      <c r="G154" s="125" t="s">
        <v>755</v>
      </c>
      <c r="H154" s="125" t="s">
        <v>673</v>
      </c>
      <c r="I154" s="125"/>
    </row>
    <row r="155" spans="1:9" s="104" customFormat="1" x14ac:dyDescent="0.3">
      <c r="A155" s="139">
        <v>45845</v>
      </c>
      <c r="B155" s="125" t="s">
        <v>747</v>
      </c>
      <c r="C155" s="121">
        <v>0.79861111111111116</v>
      </c>
      <c r="D155" s="121">
        <v>0.80902777777777779</v>
      </c>
      <c r="E155" s="103">
        <f t="shared" si="7"/>
        <v>14.999999999999947</v>
      </c>
      <c r="F155" s="122" t="s">
        <v>658</v>
      </c>
      <c r="G155" s="125" t="s">
        <v>756</v>
      </c>
      <c r="H155" s="125" t="s">
        <v>673</v>
      </c>
      <c r="I155" s="125"/>
    </row>
    <row r="156" spans="1:9" s="104" customFormat="1" x14ac:dyDescent="0.3">
      <c r="A156" s="139">
        <v>45845</v>
      </c>
      <c r="B156" s="125" t="s">
        <v>747</v>
      </c>
      <c r="C156" s="121">
        <v>0.80902777777777779</v>
      </c>
      <c r="D156" s="121">
        <v>0.83333333333333337</v>
      </c>
      <c r="E156" s="103">
        <f t="shared" si="7"/>
        <v>35.000000000000036</v>
      </c>
      <c r="F156" s="122" t="s">
        <v>658</v>
      </c>
      <c r="G156" s="125" t="s">
        <v>757</v>
      </c>
      <c r="H156" s="125" t="s">
        <v>579</v>
      </c>
      <c r="I156" s="125"/>
    </row>
    <row r="157" spans="1:9" s="104" customFormat="1" x14ac:dyDescent="0.3">
      <c r="A157" s="139">
        <v>45845</v>
      </c>
      <c r="B157" s="125" t="s">
        <v>747</v>
      </c>
      <c r="C157" s="121">
        <v>0.83333333333333337</v>
      </c>
      <c r="D157" s="121">
        <v>0.875</v>
      </c>
      <c r="E157" s="103">
        <f t="shared" si="7"/>
        <v>59.999999999999943</v>
      </c>
      <c r="F157" s="122" t="s">
        <v>658</v>
      </c>
      <c r="G157" s="125" t="s">
        <v>758</v>
      </c>
      <c r="H157" s="125" t="s">
        <v>739</v>
      </c>
      <c r="I157" s="125"/>
    </row>
    <row r="158" spans="1:9" s="104" customFormat="1" x14ac:dyDescent="0.3">
      <c r="A158" s="139">
        <v>45845</v>
      </c>
      <c r="B158" s="125" t="s">
        <v>747</v>
      </c>
      <c r="C158" s="121">
        <v>0.875</v>
      </c>
      <c r="D158" s="121">
        <v>0.95833333333333337</v>
      </c>
      <c r="E158" s="103">
        <f t="shared" si="7"/>
        <v>120.00000000000006</v>
      </c>
      <c r="F158" s="122" t="s">
        <v>658</v>
      </c>
      <c r="G158" s="125" t="s">
        <v>759</v>
      </c>
      <c r="H158" s="125" t="s">
        <v>664</v>
      </c>
      <c r="I158" s="125"/>
    </row>
    <row r="159" spans="1:9" s="104" customFormat="1" x14ac:dyDescent="0.3">
      <c r="A159" s="139">
        <v>45845</v>
      </c>
      <c r="B159" s="125" t="s">
        <v>747</v>
      </c>
      <c r="C159" s="121">
        <v>0.95833333333333337</v>
      </c>
      <c r="D159" s="121">
        <v>0.97222222222222221</v>
      </c>
      <c r="E159" s="103">
        <f t="shared" si="7"/>
        <v>19.999999999999929</v>
      </c>
      <c r="F159" s="122" t="s">
        <v>658</v>
      </c>
      <c r="G159" s="125" t="s">
        <v>699</v>
      </c>
      <c r="H159" s="125" t="s">
        <v>664</v>
      </c>
      <c r="I159" s="125" t="s">
        <v>760</v>
      </c>
    </row>
    <row r="160" spans="1:9" s="104" customFormat="1" x14ac:dyDescent="0.3">
      <c r="A160" s="139">
        <v>45845</v>
      </c>
      <c r="B160" s="125" t="s">
        <v>747</v>
      </c>
      <c r="C160" s="121">
        <v>0.97222222222222221</v>
      </c>
      <c r="D160" s="121">
        <v>0.98263888888888884</v>
      </c>
      <c r="E160" s="103">
        <f t="shared" si="7"/>
        <v>14.999999999999947</v>
      </c>
      <c r="F160" s="122" t="s">
        <v>658</v>
      </c>
      <c r="G160" s="125" t="s">
        <v>761</v>
      </c>
      <c r="H160" s="125" t="s">
        <v>662</v>
      </c>
      <c r="I160" s="125"/>
    </row>
    <row r="161" spans="1:9" s="104" customFormat="1" x14ac:dyDescent="0.3">
      <c r="A161" s="108"/>
      <c r="B161" s="108"/>
      <c r="C161" s="108"/>
      <c r="D161" s="108"/>
      <c r="E161" s="108"/>
      <c r="F161" s="108"/>
      <c r="G161" s="108"/>
      <c r="H161" s="108"/>
      <c r="I161" s="108"/>
    </row>
    <row r="162" spans="1:9" s="104" customFormat="1" ht="26.4" x14ac:dyDescent="0.3">
      <c r="A162" s="114" t="s">
        <v>1</v>
      </c>
      <c r="B162" s="114" t="s">
        <v>2</v>
      </c>
      <c r="C162" s="115" t="s">
        <v>3</v>
      </c>
      <c r="D162" s="116"/>
      <c r="E162" s="114" t="s">
        <v>4</v>
      </c>
      <c r="F162" s="114" t="s">
        <v>5</v>
      </c>
      <c r="G162" s="137" t="s">
        <v>6</v>
      </c>
      <c r="H162" s="114" t="s">
        <v>7</v>
      </c>
      <c r="I162" s="114" t="s">
        <v>8</v>
      </c>
    </row>
    <row r="163" spans="1:9" s="104" customFormat="1" x14ac:dyDescent="0.3">
      <c r="A163" s="118"/>
      <c r="B163" s="118"/>
      <c r="C163" s="119" t="s">
        <v>9</v>
      </c>
      <c r="D163" s="119" t="s">
        <v>10</v>
      </c>
      <c r="E163" s="118"/>
      <c r="F163" s="120"/>
      <c r="G163" s="138"/>
      <c r="H163" s="120"/>
      <c r="I163" s="120"/>
    </row>
    <row r="164" spans="1:9" s="104" customFormat="1" x14ac:dyDescent="0.3">
      <c r="A164" s="139">
        <v>45849</v>
      </c>
      <c r="B164" s="125" t="s">
        <v>762</v>
      </c>
      <c r="C164" s="121">
        <v>0.25</v>
      </c>
      <c r="D164" s="121">
        <v>0.29166666666666669</v>
      </c>
      <c r="E164" s="103">
        <f>(D164-C164)*1440</f>
        <v>60.000000000000028</v>
      </c>
      <c r="F164" s="122" t="s">
        <v>658</v>
      </c>
      <c r="G164" s="122" t="s">
        <v>763</v>
      </c>
      <c r="H164" s="122" t="s">
        <v>660</v>
      </c>
      <c r="I164" s="122"/>
    </row>
    <row r="165" spans="1:9" s="104" customFormat="1" x14ac:dyDescent="0.3">
      <c r="A165" s="139">
        <v>45849</v>
      </c>
      <c r="B165" s="125" t="s">
        <v>762</v>
      </c>
      <c r="C165" s="121">
        <v>0.29166666666666669</v>
      </c>
      <c r="D165" s="121">
        <v>0.30208333333333331</v>
      </c>
      <c r="E165" s="103">
        <f>(D165-C165)*1440</f>
        <v>14.999999999999947</v>
      </c>
      <c r="F165" s="122" t="s">
        <v>658</v>
      </c>
      <c r="G165" s="125" t="s">
        <v>764</v>
      </c>
      <c r="H165" s="122" t="s">
        <v>662</v>
      </c>
      <c r="I165" s="122"/>
    </row>
    <row r="166" spans="1:9" s="104" customFormat="1" x14ac:dyDescent="0.3">
      <c r="A166" s="139">
        <v>45849</v>
      </c>
      <c r="B166" s="125" t="s">
        <v>762</v>
      </c>
      <c r="C166" s="121">
        <v>0.30208333333333331</v>
      </c>
      <c r="D166" s="121">
        <v>0.33333333333333331</v>
      </c>
      <c r="E166" s="103">
        <f>(D166-C166)*1440</f>
        <v>45</v>
      </c>
      <c r="F166" s="122" t="s">
        <v>658</v>
      </c>
      <c r="G166" s="125" t="s">
        <v>765</v>
      </c>
      <c r="H166" s="122" t="s">
        <v>662</v>
      </c>
      <c r="I166" s="122"/>
    </row>
    <row r="167" spans="1:9" s="104" customFormat="1" x14ac:dyDescent="0.3">
      <c r="A167" s="139">
        <v>45849</v>
      </c>
      <c r="B167" s="125" t="s">
        <v>762</v>
      </c>
      <c r="C167" s="121">
        <v>0.33333333333333331</v>
      </c>
      <c r="D167" s="121">
        <v>0.35416666666666669</v>
      </c>
      <c r="E167" s="103">
        <f t="shared" ref="E167:E185" si="8">(D167-C167)*1440</f>
        <v>30.000000000000053</v>
      </c>
      <c r="F167" s="122" t="s">
        <v>658</v>
      </c>
      <c r="G167" s="122" t="s">
        <v>766</v>
      </c>
      <c r="H167" s="145" t="s">
        <v>767</v>
      </c>
      <c r="I167" s="122"/>
    </row>
    <row r="168" spans="1:9" s="104" customFormat="1" x14ac:dyDescent="0.3">
      <c r="A168" s="139">
        <v>45849</v>
      </c>
      <c r="B168" s="125" t="s">
        <v>762</v>
      </c>
      <c r="C168" s="121">
        <v>0.35416666666666669</v>
      </c>
      <c r="D168" s="121">
        <v>0.38541666666666669</v>
      </c>
      <c r="E168" s="103">
        <f t="shared" si="8"/>
        <v>45</v>
      </c>
      <c r="F168" s="122" t="s">
        <v>658</v>
      </c>
      <c r="G168" s="122" t="s">
        <v>768</v>
      </c>
      <c r="H168" s="145" t="s">
        <v>767</v>
      </c>
      <c r="I168" s="122"/>
    </row>
    <row r="169" spans="1:9" s="104" customFormat="1" x14ac:dyDescent="0.3">
      <c r="A169" s="139">
        <v>45849</v>
      </c>
      <c r="B169" s="125" t="s">
        <v>762</v>
      </c>
      <c r="C169" s="121">
        <v>0.38541666666666669</v>
      </c>
      <c r="D169" s="121">
        <v>0.42708333333333331</v>
      </c>
      <c r="E169" s="103">
        <f t="shared" si="8"/>
        <v>59.999999999999943</v>
      </c>
      <c r="F169" s="122" t="s">
        <v>658</v>
      </c>
      <c r="G169" s="125" t="s">
        <v>769</v>
      </c>
      <c r="H169" s="145" t="s">
        <v>767</v>
      </c>
      <c r="I169" s="125"/>
    </row>
    <row r="170" spans="1:9" s="104" customFormat="1" x14ac:dyDescent="0.3">
      <c r="A170" s="139">
        <v>45849</v>
      </c>
      <c r="B170" s="125" t="s">
        <v>762</v>
      </c>
      <c r="C170" s="121">
        <v>0.42708333333333331</v>
      </c>
      <c r="D170" s="121">
        <v>0.44791666666666669</v>
      </c>
      <c r="E170" s="103">
        <f t="shared" si="8"/>
        <v>30.000000000000053</v>
      </c>
      <c r="F170" s="122" t="s">
        <v>658</v>
      </c>
      <c r="G170" s="122" t="s">
        <v>770</v>
      </c>
      <c r="H170" s="125" t="s">
        <v>673</v>
      </c>
      <c r="I170" s="125"/>
    </row>
    <row r="171" spans="1:9" s="104" customFormat="1" x14ac:dyDescent="0.3">
      <c r="A171" s="139">
        <v>45849</v>
      </c>
      <c r="B171" s="125" t="s">
        <v>762</v>
      </c>
      <c r="C171" s="121">
        <v>0.44791666666666669</v>
      </c>
      <c r="D171" s="121">
        <v>0.47916666666666669</v>
      </c>
      <c r="E171" s="103">
        <f t="shared" si="8"/>
        <v>45</v>
      </c>
      <c r="F171" s="122" t="s">
        <v>658</v>
      </c>
      <c r="G171" s="125" t="s">
        <v>771</v>
      </c>
      <c r="H171" s="125" t="s">
        <v>673</v>
      </c>
      <c r="I171" s="125"/>
    </row>
    <row r="172" spans="1:9" s="104" customFormat="1" x14ac:dyDescent="0.3">
      <c r="A172" s="139">
        <v>45849</v>
      </c>
      <c r="B172" s="125" t="s">
        <v>762</v>
      </c>
      <c r="C172" s="121">
        <v>0.47916666666666669</v>
      </c>
      <c r="D172" s="121">
        <v>0.54166666666666663</v>
      </c>
      <c r="E172" s="103">
        <f t="shared" si="8"/>
        <v>89.999999999999915</v>
      </c>
      <c r="F172" s="122" t="s">
        <v>658</v>
      </c>
      <c r="G172" s="125" t="s">
        <v>755</v>
      </c>
      <c r="H172" s="125" t="s">
        <v>579</v>
      </c>
      <c r="I172" s="125"/>
    </row>
    <row r="173" spans="1:9" s="104" customFormat="1" x14ac:dyDescent="0.3">
      <c r="A173" s="139">
        <v>45849</v>
      </c>
      <c r="B173" s="125" t="s">
        <v>762</v>
      </c>
      <c r="C173" s="121">
        <v>0.54166666666666663</v>
      </c>
      <c r="D173" s="121">
        <v>0.55208333333333337</v>
      </c>
      <c r="E173" s="103">
        <f t="shared" si="8"/>
        <v>15.000000000000107</v>
      </c>
      <c r="F173" s="122" t="s">
        <v>658</v>
      </c>
      <c r="G173" s="125" t="s">
        <v>772</v>
      </c>
      <c r="H173" s="122" t="s">
        <v>662</v>
      </c>
      <c r="I173" s="125"/>
    </row>
    <row r="174" spans="1:9" s="104" customFormat="1" x14ac:dyDescent="0.3">
      <c r="A174" s="139">
        <v>45849</v>
      </c>
      <c r="B174" s="125" t="s">
        <v>762</v>
      </c>
      <c r="C174" s="121">
        <v>0.55208333333333337</v>
      </c>
      <c r="D174" s="121">
        <v>0.5625</v>
      </c>
      <c r="E174" s="103">
        <f t="shared" si="8"/>
        <v>14.999999999999947</v>
      </c>
      <c r="F174" s="122" t="s">
        <v>658</v>
      </c>
      <c r="G174" s="125" t="s">
        <v>773</v>
      </c>
      <c r="H174" s="122" t="s">
        <v>662</v>
      </c>
      <c r="I174" s="125"/>
    </row>
    <row r="175" spans="1:9" s="104" customFormat="1" x14ac:dyDescent="0.3">
      <c r="A175" s="139">
        <v>45849</v>
      </c>
      <c r="B175" s="125" t="s">
        <v>762</v>
      </c>
      <c r="C175" s="121">
        <v>0.5625</v>
      </c>
      <c r="D175" s="121">
        <v>0.58333333333333337</v>
      </c>
      <c r="E175" s="103">
        <f t="shared" si="8"/>
        <v>30.000000000000053</v>
      </c>
      <c r="F175" s="122" t="s">
        <v>658</v>
      </c>
      <c r="G175" s="125" t="s">
        <v>774</v>
      </c>
      <c r="H175" s="122" t="s">
        <v>662</v>
      </c>
      <c r="I175" s="125"/>
    </row>
    <row r="176" spans="1:9" s="104" customFormat="1" x14ac:dyDescent="0.3">
      <c r="A176" s="139">
        <v>45849</v>
      </c>
      <c r="B176" s="125" t="s">
        <v>762</v>
      </c>
      <c r="C176" s="121">
        <v>0.58333333333333337</v>
      </c>
      <c r="D176" s="121">
        <v>0.67708333333333337</v>
      </c>
      <c r="E176" s="103">
        <f t="shared" si="8"/>
        <v>135</v>
      </c>
      <c r="F176" s="122" t="s">
        <v>658</v>
      </c>
      <c r="G176" s="125" t="s">
        <v>775</v>
      </c>
      <c r="H176" s="145" t="s">
        <v>767</v>
      </c>
      <c r="I176" s="125"/>
    </row>
    <row r="177" spans="1:9" s="104" customFormat="1" x14ac:dyDescent="0.3">
      <c r="A177" s="139">
        <v>45849</v>
      </c>
      <c r="B177" s="125" t="s">
        <v>762</v>
      </c>
      <c r="C177" s="121">
        <v>0.67708333333333337</v>
      </c>
      <c r="D177" s="121">
        <v>0.6875</v>
      </c>
      <c r="E177" s="103">
        <f t="shared" si="8"/>
        <v>14.999999999999947</v>
      </c>
      <c r="F177" s="122" t="s">
        <v>658</v>
      </c>
      <c r="G177" s="125" t="s">
        <v>776</v>
      </c>
      <c r="H177" s="125" t="s">
        <v>673</v>
      </c>
      <c r="I177" s="125"/>
    </row>
    <row r="178" spans="1:9" s="104" customFormat="1" x14ac:dyDescent="0.3">
      <c r="A178" s="139">
        <v>45849</v>
      </c>
      <c r="B178" s="125" t="s">
        <v>762</v>
      </c>
      <c r="C178" s="121">
        <v>0.6875</v>
      </c>
      <c r="D178" s="121">
        <v>0.69791666666666663</v>
      </c>
      <c r="E178" s="103">
        <f t="shared" si="8"/>
        <v>14.999999999999947</v>
      </c>
      <c r="F178" s="122" t="s">
        <v>658</v>
      </c>
      <c r="G178" s="125" t="s">
        <v>777</v>
      </c>
      <c r="H178" s="145" t="s">
        <v>767</v>
      </c>
      <c r="I178" s="125"/>
    </row>
    <row r="179" spans="1:9" s="104" customFormat="1" x14ac:dyDescent="0.3">
      <c r="A179" s="139">
        <v>45849</v>
      </c>
      <c r="B179" s="125" t="s">
        <v>762</v>
      </c>
      <c r="C179" s="121">
        <v>0.69791666666666663</v>
      </c>
      <c r="D179" s="121">
        <v>0.71875</v>
      </c>
      <c r="E179" s="103">
        <f t="shared" si="8"/>
        <v>30.000000000000053</v>
      </c>
      <c r="F179" s="122" t="s">
        <v>658</v>
      </c>
      <c r="G179" s="125" t="s">
        <v>778</v>
      </c>
      <c r="H179" s="125" t="s">
        <v>662</v>
      </c>
      <c r="I179" s="125"/>
    </row>
    <row r="180" spans="1:9" s="104" customFormat="1" x14ac:dyDescent="0.3">
      <c r="A180" s="139">
        <v>45849</v>
      </c>
      <c r="B180" s="125" t="s">
        <v>762</v>
      </c>
      <c r="C180" s="121">
        <v>0.71875</v>
      </c>
      <c r="D180" s="121">
        <v>0.72916666666666663</v>
      </c>
      <c r="E180" s="103">
        <f t="shared" si="8"/>
        <v>14.999999999999947</v>
      </c>
      <c r="F180" s="122" t="s">
        <v>658</v>
      </c>
      <c r="G180" s="125" t="s">
        <v>779</v>
      </c>
      <c r="H180" s="125" t="s">
        <v>579</v>
      </c>
      <c r="I180" s="125"/>
    </row>
    <row r="181" spans="1:9" s="104" customFormat="1" x14ac:dyDescent="0.3">
      <c r="A181" s="139">
        <v>45849</v>
      </c>
      <c r="B181" s="125" t="s">
        <v>762</v>
      </c>
      <c r="C181" s="121">
        <v>0.72916666666666663</v>
      </c>
      <c r="D181" s="121">
        <v>0.75</v>
      </c>
      <c r="E181" s="103">
        <f t="shared" si="8"/>
        <v>30.000000000000053</v>
      </c>
      <c r="F181" s="122" t="s">
        <v>658</v>
      </c>
      <c r="G181" s="125" t="s">
        <v>780</v>
      </c>
      <c r="H181" s="125" t="s">
        <v>662</v>
      </c>
      <c r="I181" s="125"/>
    </row>
    <row r="182" spans="1:9" s="104" customFormat="1" x14ac:dyDescent="0.3">
      <c r="A182" s="139">
        <v>45849</v>
      </c>
      <c r="B182" s="125" t="s">
        <v>762</v>
      </c>
      <c r="C182" s="121">
        <v>0.75</v>
      </c>
      <c r="D182" s="121">
        <v>0.77083333333333337</v>
      </c>
      <c r="E182" s="103">
        <f t="shared" si="8"/>
        <v>30.000000000000053</v>
      </c>
      <c r="F182" s="140" t="s">
        <v>658</v>
      </c>
      <c r="G182" s="125" t="s">
        <v>755</v>
      </c>
      <c r="H182" s="125" t="s">
        <v>579</v>
      </c>
      <c r="I182" s="125"/>
    </row>
    <row r="183" spans="1:9" s="104" customFormat="1" x14ac:dyDescent="0.3">
      <c r="A183" s="139">
        <v>45849</v>
      </c>
      <c r="B183" s="125" t="s">
        <v>762</v>
      </c>
      <c r="C183" s="121">
        <v>0.77083333333333337</v>
      </c>
      <c r="D183" s="121">
        <v>0.78125</v>
      </c>
      <c r="E183" s="142">
        <f t="shared" si="8"/>
        <v>14.999999999999947</v>
      </c>
      <c r="F183" s="143" t="s">
        <v>658</v>
      </c>
      <c r="G183" s="127" t="s">
        <v>781</v>
      </c>
      <c r="H183" s="125" t="s">
        <v>662</v>
      </c>
      <c r="I183" s="125"/>
    </row>
    <row r="184" spans="1:9" s="104" customFormat="1" x14ac:dyDescent="0.3">
      <c r="A184" s="139">
        <v>45849</v>
      </c>
      <c r="B184" s="125" t="s">
        <v>762</v>
      </c>
      <c r="C184" s="121">
        <v>0.78125</v>
      </c>
      <c r="D184" s="121">
        <v>0.79166666666666663</v>
      </c>
      <c r="E184" s="142">
        <f t="shared" si="8"/>
        <v>14.999999999999947</v>
      </c>
      <c r="F184" s="146" t="s">
        <v>658</v>
      </c>
      <c r="G184" s="144" t="s">
        <v>782</v>
      </c>
      <c r="H184" s="125" t="s">
        <v>662</v>
      </c>
      <c r="I184" s="143"/>
    </row>
    <row r="185" spans="1:9" s="104" customFormat="1" x14ac:dyDescent="0.3">
      <c r="A185" s="139">
        <v>45849</v>
      </c>
      <c r="B185" s="125" t="s">
        <v>762</v>
      </c>
      <c r="C185" s="121">
        <v>0.79166666666666663</v>
      </c>
      <c r="D185" s="121">
        <v>0.79861111111111116</v>
      </c>
      <c r="E185" s="142">
        <f t="shared" si="8"/>
        <v>10.000000000000124</v>
      </c>
      <c r="F185" s="143" t="s">
        <v>658</v>
      </c>
      <c r="G185" s="127" t="s">
        <v>699</v>
      </c>
      <c r="H185" s="125" t="s">
        <v>664</v>
      </c>
      <c r="I185" s="125"/>
    </row>
    <row r="186" spans="1:9" s="104" customFormat="1" x14ac:dyDescent="0.3">
      <c r="A186" s="108"/>
      <c r="B186" s="108"/>
      <c r="C186" s="108"/>
      <c r="D186" s="108"/>
      <c r="E186" s="108"/>
      <c r="F186" s="108"/>
      <c r="G186" s="108"/>
      <c r="H186" s="108"/>
      <c r="I186" s="108"/>
    </row>
    <row r="187" spans="1:9" s="104" customFormat="1" ht="26.4" x14ac:dyDescent="0.3">
      <c r="A187" s="114" t="s">
        <v>1</v>
      </c>
      <c r="B187" s="114" t="s">
        <v>2</v>
      </c>
      <c r="C187" s="115" t="s">
        <v>3</v>
      </c>
      <c r="D187" s="116"/>
      <c r="E187" s="114" t="s">
        <v>4</v>
      </c>
      <c r="F187" s="114" t="s">
        <v>5</v>
      </c>
      <c r="G187" s="137" t="s">
        <v>6</v>
      </c>
      <c r="H187" s="114" t="s">
        <v>7</v>
      </c>
      <c r="I187" s="114" t="s">
        <v>8</v>
      </c>
    </row>
    <row r="188" spans="1:9" s="104" customFormat="1" x14ac:dyDescent="0.3">
      <c r="A188" s="118"/>
      <c r="B188" s="118"/>
      <c r="C188" s="119" t="s">
        <v>9</v>
      </c>
      <c r="D188" s="119" t="s">
        <v>10</v>
      </c>
      <c r="E188" s="118"/>
      <c r="F188" s="120"/>
      <c r="G188" s="138"/>
      <c r="H188" s="120"/>
      <c r="I188" s="120"/>
    </row>
    <row r="189" spans="1:9" s="104" customFormat="1" x14ac:dyDescent="0.3">
      <c r="A189" s="139">
        <v>45850</v>
      </c>
      <c r="B189" s="125" t="s">
        <v>732</v>
      </c>
      <c r="C189" s="121">
        <v>0.79166666666666663</v>
      </c>
      <c r="D189" s="121">
        <v>0.79861111111111116</v>
      </c>
      <c r="E189" s="103">
        <f>(D189-C189)*1440</f>
        <v>10.000000000000124</v>
      </c>
      <c r="F189" s="122" t="s">
        <v>658</v>
      </c>
      <c r="G189" s="122" t="s">
        <v>659</v>
      </c>
      <c r="H189" s="122" t="s">
        <v>660</v>
      </c>
      <c r="I189" s="122"/>
    </row>
    <row r="190" spans="1:9" s="104" customFormat="1" x14ac:dyDescent="0.3">
      <c r="A190" s="139">
        <v>45850</v>
      </c>
      <c r="B190" s="125" t="s">
        <v>732</v>
      </c>
      <c r="C190" s="121">
        <v>0.79861111111111116</v>
      </c>
      <c r="D190" s="121">
        <v>0.80208333333333337</v>
      </c>
      <c r="E190" s="103">
        <f>(D190-C190)*1440</f>
        <v>4.9999999999999822</v>
      </c>
      <c r="F190" s="122" t="s">
        <v>658</v>
      </c>
      <c r="G190" s="125" t="s">
        <v>783</v>
      </c>
      <c r="H190" s="122" t="s">
        <v>662</v>
      </c>
      <c r="I190" s="122"/>
    </row>
    <row r="191" spans="1:9" s="104" customFormat="1" x14ac:dyDescent="0.3">
      <c r="A191" s="139">
        <v>45850</v>
      </c>
      <c r="B191" s="125" t="s">
        <v>732</v>
      </c>
      <c r="C191" s="121">
        <v>0.80208333333333337</v>
      </c>
      <c r="D191" s="121">
        <v>0.8125</v>
      </c>
      <c r="E191" s="103">
        <f>(D191-C191)*1440</f>
        <v>14.999999999999947</v>
      </c>
      <c r="F191" s="122" t="s">
        <v>658</v>
      </c>
      <c r="G191" s="125" t="s">
        <v>784</v>
      </c>
      <c r="H191" s="122" t="s">
        <v>662</v>
      </c>
      <c r="I191" s="122"/>
    </row>
    <row r="192" spans="1:9" s="104" customFormat="1" x14ac:dyDescent="0.3">
      <c r="A192" s="139">
        <v>45850</v>
      </c>
      <c r="B192" s="125" t="s">
        <v>732</v>
      </c>
      <c r="C192" s="121">
        <v>0.8125</v>
      </c>
      <c r="D192" s="121">
        <v>0.81944444444444442</v>
      </c>
      <c r="E192" s="103">
        <f t="shared" ref="E192:E215" si="9">(D192-C192)*1440</f>
        <v>9.9999999999999645</v>
      </c>
      <c r="F192" s="122" t="s">
        <v>658</v>
      </c>
      <c r="G192" s="122" t="s">
        <v>785</v>
      </c>
      <c r="H192" s="122" t="s">
        <v>662</v>
      </c>
      <c r="I192" s="122"/>
    </row>
    <row r="193" spans="1:9" s="104" customFormat="1" x14ac:dyDescent="0.3">
      <c r="A193" s="139">
        <v>45850</v>
      </c>
      <c r="B193" s="125" t="s">
        <v>732</v>
      </c>
      <c r="C193" s="121">
        <v>0.81944444444444442</v>
      </c>
      <c r="D193" s="121">
        <v>0.82291666666666663</v>
      </c>
      <c r="E193" s="103">
        <f t="shared" si="9"/>
        <v>4.9999999999999822</v>
      </c>
      <c r="F193" s="122" t="s">
        <v>658</v>
      </c>
      <c r="G193" s="122" t="s">
        <v>786</v>
      </c>
      <c r="H193" s="122" t="s">
        <v>662</v>
      </c>
      <c r="I193" s="122"/>
    </row>
    <row r="194" spans="1:9" s="104" customFormat="1" x14ac:dyDescent="0.3">
      <c r="A194" s="139">
        <v>45850</v>
      </c>
      <c r="B194" s="125" t="s">
        <v>732</v>
      </c>
      <c r="C194" s="121">
        <v>0.82291666666666663</v>
      </c>
      <c r="D194" s="121">
        <v>0.83333333333333337</v>
      </c>
      <c r="E194" s="103">
        <f t="shared" si="9"/>
        <v>15.000000000000107</v>
      </c>
      <c r="F194" s="122" t="s">
        <v>658</v>
      </c>
      <c r="G194" s="125" t="s">
        <v>787</v>
      </c>
      <c r="H194" s="145" t="s">
        <v>788</v>
      </c>
      <c r="I194" s="125"/>
    </row>
    <row r="195" spans="1:9" s="104" customFormat="1" x14ac:dyDescent="0.3">
      <c r="A195" s="139">
        <v>45850</v>
      </c>
      <c r="B195" s="125" t="s">
        <v>732</v>
      </c>
      <c r="C195" s="121">
        <v>0.83333333333333337</v>
      </c>
      <c r="D195" s="121">
        <v>0.86805555555555558</v>
      </c>
      <c r="E195" s="103">
        <f t="shared" si="9"/>
        <v>49.999999999999986</v>
      </c>
      <c r="F195" s="122" t="s">
        <v>658</v>
      </c>
      <c r="G195" s="122" t="s">
        <v>789</v>
      </c>
      <c r="H195" s="122" t="s">
        <v>662</v>
      </c>
      <c r="I195" s="125"/>
    </row>
    <row r="196" spans="1:9" s="104" customFormat="1" x14ac:dyDescent="0.3">
      <c r="A196" s="139">
        <v>45850</v>
      </c>
      <c r="B196" s="125" t="s">
        <v>732</v>
      </c>
      <c r="C196" s="121">
        <v>0.86805555555555558</v>
      </c>
      <c r="D196" s="121">
        <v>0.88888888888888884</v>
      </c>
      <c r="E196" s="103">
        <f t="shared" si="9"/>
        <v>29.999999999999893</v>
      </c>
      <c r="F196" s="122" t="s">
        <v>658</v>
      </c>
      <c r="G196" s="125" t="s">
        <v>790</v>
      </c>
      <c r="H196" s="122" t="s">
        <v>662</v>
      </c>
      <c r="I196" s="125"/>
    </row>
    <row r="197" spans="1:9" s="104" customFormat="1" ht="26.4" x14ac:dyDescent="0.3">
      <c r="A197" s="139">
        <v>45850</v>
      </c>
      <c r="B197" s="125" t="s">
        <v>732</v>
      </c>
      <c r="C197" s="121">
        <v>0.88888888888888884</v>
      </c>
      <c r="D197" s="121">
        <v>0.91666666666666663</v>
      </c>
      <c r="E197" s="103">
        <f t="shared" si="9"/>
        <v>40.000000000000014</v>
      </c>
      <c r="F197" s="122" t="s">
        <v>658</v>
      </c>
      <c r="G197" s="125" t="s">
        <v>791</v>
      </c>
      <c r="H197" s="122" t="s">
        <v>662</v>
      </c>
      <c r="I197" s="125"/>
    </row>
    <row r="198" spans="1:9" s="104" customFormat="1" x14ac:dyDescent="0.3">
      <c r="A198" s="139">
        <v>45850</v>
      </c>
      <c r="B198" s="125" t="s">
        <v>732</v>
      </c>
      <c r="C198" s="121">
        <v>0.91666666666666663</v>
      </c>
      <c r="D198" s="121">
        <v>0.92708333333333337</v>
      </c>
      <c r="E198" s="103">
        <f t="shared" si="9"/>
        <v>15.000000000000107</v>
      </c>
      <c r="F198" s="122" t="s">
        <v>658</v>
      </c>
      <c r="G198" s="125" t="s">
        <v>792</v>
      </c>
      <c r="H198" s="122" t="s">
        <v>579</v>
      </c>
      <c r="I198" s="125"/>
    </row>
    <row r="199" spans="1:9" s="104" customFormat="1" x14ac:dyDescent="0.3">
      <c r="A199" s="139">
        <v>45850</v>
      </c>
      <c r="B199" s="125" t="s">
        <v>732</v>
      </c>
      <c r="C199" s="121">
        <v>0.92708333333333337</v>
      </c>
      <c r="D199" s="121">
        <v>0.9375</v>
      </c>
      <c r="E199" s="103">
        <f t="shared" si="9"/>
        <v>14.999999999999947</v>
      </c>
      <c r="F199" s="122" t="s">
        <v>658</v>
      </c>
      <c r="G199" s="125" t="s">
        <v>793</v>
      </c>
      <c r="H199" s="122" t="s">
        <v>662</v>
      </c>
      <c r="I199" s="125"/>
    </row>
    <row r="200" spans="1:9" s="104" customFormat="1" x14ac:dyDescent="0.3">
      <c r="A200" s="139">
        <v>45850</v>
      </c>
      <c r="B200" s="125" t="s">
        <v>732</v>
      </c>
      <c r="C200" s="121">
        <v>0.9375</v>
      </c>
      <c r="D200" s="121">
        <v>0.94791666666666663</v>
      </c>
      <c r="E200" s="103">
        <f t="shared" si="9"/>
        <v>14.999999999999947</v>
      </c>
      <c r="F200" s="122" t="s">
        <v>658</v>
      </c>
      <c r="G200" s="125" t="s">
        <v>794</v>
      </c>
      <c r="H200" s="122" t="s">
        <v>662</v>
      </c>
      <c r="I200" s="125"/>
    </row>
    <row r="201" spans="1:9" s="104" customFormat="1" x14ac:dyDescent="0.3">
      <c r="A201" s="139">
        <v>45850</v>
      </c>
      <c r="B201" s="125" t="s">
        <v>732</v>
      </c>
      <c r="C201" s="121">
        <v>0.94791666666666663</v>
      </c>
      <c r="D201" s="121">
        <v>1</v>
      </c>
      <c r="E201" s="103">
        <f t="shared" si="9"/>
        <v>75.000000000000057</v>
      </c>
      <c r="F201" s="122" t="s">
        <v>658</v>
      </c>
      <c r="G201" s="125" t="s">
        <v>795</v>
      </c>
      <c r="H201" s="145" t="s">
        <v>796</v>
      </c>
      <c r="I201" s="125"/>
    </row>
    <row r="202" spans="1:9" s="104" customFormat="1" x14ac:dyDescent="0.3">
      <c r="A202" s="139">
        <v>45850</v>
      </c>
      <c r="B202" s="125" t="s">
        <v>732</v>
      </c>
      <c r="C202" s="121">
        <v>0</v>
      </c>
      <c r="D202" s="121">
        <v>4.1666666666666699E-2</v>
      </c>
      <c r="E202" s="103">
        <f t="shared" si="9"/>
        <v>60.00000000000005</v>
      </c>
      <c r="F202" s="122" t="s">
        <v>658</v>
      </c>
      <c r="G202" s="125" t="s">
        <v>670</v>
      </c>
      <c r="H202" s="125" t="s">
        <v>670</v>
      </c>
      <c r="I202" s="125"/>
    </row>
    <row r="203" spans="1:9" s="104" customFormat="1" x14ac:dyDescent="0.3">
      <c r="A203" s="139">
        <v>45850</v>
      </c>
      <c r="B203" s="125" t="s">
        <v>732</v>
      </c>
      <c r="C203" s="147">
        <v>4.1666666666666664E-2</v>
      </c>
      <c r="D203" s="147">
        <v>5.5555555555555552E-2</v>
      </c>
      <c r="E203" s="103">
        <f t="shared" si="9"/>
        <v>20</v>
      </c>
      <c r="F203" s="122" t="s">
        <v>658</v>
      </c>
      <c r="G203" s="125" t="s">
        <v>797</v>
      </c>
      <c r="H203" s="122" t="s">
        <v>662</v>
      </c>
      <c r="I203" s="125"/>
    </row>
    <row r="204" spans="1:9" s="104" customFormat="1" x14ac:dyDescent="0.3">
      <c r="A204" s="139">
        <v>45850</v>
      </c>
      <c r="B204" s="125" t="s">
        <v>732</v>
      </c>
      <c r="C204" s="147">
        <v>5.5555555555555552E-2</v>
      </c>
      <c r="D204" s="121">
        <v>9.7222222222222224E-2</v>
      </c>
      <c r="E204" s="103">
        <f t="shared" si="9"/>
        <v>60.000000000000007</v>
      </c>
      <c r="F204" s="122" t="s">
        <v>658</v>
      </c>
      <c r="G204" s="125" t="s">
        <v>798</v>
      </c>
      <c r="H204" s="125" t="s">
        <v>673</v>
      </c>
      <c r="I204" s="125"/>
    </row>
    <row r="205" spans="1:9" s="104" customFormat="1" x14ac:dyDescent="0.3">
      <c r="A205" s="139">
        <v>45850</v>
      </c>
      <c r="B205" s="125" t="s">
        <v>732</v>
      </c>
      <c r="C205" s="121">
        <v>9.7222222222222224E-2</v>
      </c>
      <c r="D205" s="121">
        <v>0.1388888888888889</v>
      </c>
      <c r="E205" s="103">
        <f t="shared" si="9"/>
        <v>60.000000000000007</v>
      </c>
      <c r="F205" s="122" t="s">
        <v>658</v>
      </c>
      <c r="G205" s="125" t="s">
        <v>705</v>
      </c>
      <c r="H205" s="125" t="s">
        <v>673</v>
      </c>
      <c r="I205" s="125"/>
    </row>
    <row r="206" spans="1:9" s="104" customFormat="1" x14ac:dyDescent="0.3">
      <c r="A206" s="139">
        <v>45850</v>
      </c>
      <c r="B206" s="125" t="s">
        <v>732</v>
      </c>
      <c r="C206" s="121">
        <v>0.1388888888888889</v>
      </c>
      <c r="D206" s="121">
        <v>0.17708333333333334</v>
      </c>
      <c r="E206" s="103">
        <f t="shared" si="9"/>
        <v>55.000000000000007</v>
      </c>
      <c r="F206" s="122" t="s">
        <v>658</v>
      </c>
      <c r="G206" s="125" t="s">
        <v>706</v>
      </c>
      <c r="H206" s="125" t="s">
        <v>673</v>
      </c>
      <c r="I206" s="125"/>
    </row>
    <row r="207" spans="1:9" s="104" customFormat="1" x14ac:dyDescent="0.3">
      <c r="A207" s="148">
        <v>45850</v>
      </c>
      <c r="B207" s="119" t="s">
        <v>732</v>
      </c>
      <c r="C207" s="149">
        <v>0.17708333333333334</v>
      </c>
      <c r="D207" s="149">
        <v>0.18402777777777779</v>
      </c>
      <c r="E207" s="150">
        <f t="shared" si="9"/>
        <v>10.000000000000004</v>
      </c>
      <c r="F207" s="118" t="s">
        <v>658</v>
      </c>
      <c r="G207" s="119" t="s">
        <v>799</v>
      </c>
      <c r="H207" s="119" t="s">
        <v>662</v>
      </c>
      <c r="I207" s="119"/>
    </row>
    <row r="208" spans="1:9" s="104" customFormat="1" x14ac:dyDescent="0.3">
      <c r="A208" s="148">
        <v>45850</v>
      </c>
      <c r="B208" s="119" t="s">
        <v>732</v>
      </c>
      <c r="C208" s="149">
        <v>0.18402777777777779</v>
      </c>
      <c r="D208" s="149">
        <v>0.1875</v>
      </c>
      <c r="E208" s="151">
        <f t="shared" si="9"/>
        <v>4.9999999999999822</v>
      </c>
      <c r="F208" s="152" t="s">
        <v>658</v>
      </c>
      <c r="G208" s="153" t="s">
        <v>800</v>
      </c>
      <c r="H208" s="119" t="s">
        <v>662</v>
      </c>
      <c r="I208" s="119"/>
    </row>
    <row r="209" spans="1:9" s="104" customFormat="1" x14ac:dyDescent="0.3">
      <c r="A209" s="148">
        <v>45850</v>
      </c>
      <c r="B209" s="119" t="s">
        <v>732</v>
      </c>
      <c r="C209" s="149">
        <v>0.1875</v>
      </c>
      <c r="D209" s="149">
        <v>0.20833333333333334</v>
      </c>
      <c r="E209" s="151">
        <f t="shared" si="9"/>
        <v>30.000000000000014</v>
      </c>
      <c r="F209" s="154" t="s">
        <v>658</v>
      </c>
      <c r="G209" s="155" t="s">
        <v>801</v>
      </c>
      <c r="H209" s="119" t="s">
        <v>579</v>
      </c>
      <c r="I209" s="152"/>
    </row>
    <row r="210" spans="1:9" s="104" customFormat="1" x14ac:dyDescent="0.3">
      <c r="A210" s="148">
        <v>45850</v>
      </c>
      <c r="B210" s="119" t="s">
        <v>732</v>
      </c>
      <c r="C210" s="149">
        <v>0.20833333333333334</v>
      </c>
      <c r="D210" s="149">
        <v>0.22569444444444445</v>
      </c>
      <c r="E210" s="151">
        <f t="shared" si="9"/>
        <v>24.999999999999993</v>
      </c>
      <c r="F210" s="152" t="s">
        <v>658</v>
      </c>
      <c r="G210" s="153" t="s">
        <v>802</v>
      </c>
      <c r="H210" s="119" t="s">
        <v>803</v>
      </c>
      <c r="I210" s="119"/>
    </row>
    <row r="211" spans="1:9" s="104" customFormat="1" x14ac:dyDescent="0.3">
      <c r="A211" s="148">
        <v>45850</v>
      </c>
      <c r="B211" s="119" t="s">
        <v>732</v>
      </c>
      <c r="C211" s="149">
        <v>0.22569444444444445</v>
      </c>
      <c r="D211" s="149">
        <v>0.2326388888888889</v>
      </c>
      <c r="E211" s="150">
        <f t="shared" si="9"/>
        <v>10.000000000000004</v>
      </c>
      <c r="F211" s="118" t="s">
        <v>658</v>
      </c>
      <c r="G211" s="153" t="s">
        <v>804</v>
      </c>
      <c r="H211" s="119" t="s">
        <v>662</v>
      </c>
      <c r="I211" s="119"/>
    </row>
    <row r="212" spans="1:9" s="104" customFormat="1" x14ac:dyDescent="0.3">
      <c r="A212" s="148">
        <v>45850</v>
      </c>
      <c r="B212" s="119" t="s">
        <v>732</v>
      </c>
      <c r="C212" s="149">
        <v>0.2326388888888889</v>
      </c>
      <c r="D212" s="149">
        <v>0.26041666666666669</v>
      </c>
      <c r="E212" s="151">
        <f t="shared" si="9"/>
        <v>40.000000000000014</v>
      </c>
      <c r="F212" s="152" t="s">
        <v>658</v>
      </c>
      <c r="G212" s="153" t="s">
        <v>805</v>
      </c>
      <c r="H212" s="119" t="s">
        <v>664</v>
      </c>
      <c r="I212" s="119"/>
    </row>
    <row r="213" spans="1:9" s="104" customFormat="1" x14ac:dyDescent="0.3">
      <c r="A213" s="148">
        <v>45850</v>
      </c>
      <c r="B213" s="119" t="s">
        <v>732</v>
      </c>
      <c r="C213" s="149">
        <v>0.26041666666666669</v>
      </c>
      <c r="D213" s="149">
        <v>0.2673611111111111</v>
      </c>
      <c r="E213" s="151">
        <f t="shared" si="9"/>
        <v>9.9999999999999645</v>
      </c>
      <c r="F213" s="154" t="s">
        <v>658</v>
      </c>
      <c r="G213" s="155" t="s">
        <v>806</v>
      </c>
      <c r="H213" s="119" t="s">
        <v>662</v>
      </c>
      <c r="I213" s="152"/>
    </row>
    <row r="214" spans="1:9" s="104" customFormat="1" x14ac:dyDescent="0.3">
      <c r="A214" s="148">
        <v>45850</v>
      </c>
      <c r="B214" s="119" t="s">
        <v>732</v>
      </c>
      <c r="C214" s="149">
        <v>0.2673611111111111</v>
      </c>
      <c r="D214" s="149">
        <v>0.27777777777777779</v>
      </c>
      <c r="E214" s="151">
        <f t="shared" si="9"/>
        <v>15.000000000000027</v>
      </c>
      <c r="F214" s="152" t="s">
        <v>658</v>
      </c>
      <c r="G214" s="153" t="s">
        <v>807</v>
      </c>
      <c r="H214" s="119" t="s">
        <v>662</v>
      </c>
      <c r="I214" s="119"/>
    </row>
    <row r="215" spans="1:9" s="104" customFormat="1" x14ac:dyDescent="0.3">
      <c r="A215" s="148">
        <v>45850</v>
      </c>
      <c r="B215" s="119" t="s">
        <v>732</v>
      </c>
      <c r="C215" s="149">
        <v>0.27777777777777779</v>
      </c>
      <c r="D215" s="149">
        <v>0.2951388888888889</v>
      </c>
      <c r="E215" s="151">
        <f t="shared" si="9"/>
        <v>24.999999999999993</v>
      </c>
      <c r="F215" s="154" t="s">
        <v>658</v>
      </c>
      <c r="G215" s="155" t="s">
        <v>808</v>
      </c>
      <c r="H215" s="119" t="s">
        <v>662</v>
      </c>
      <c r="I215" s="152"/>
    </row>
    <row r="216" spans="1:9" s="104" customFormat="1" x14ac:dyDescent="0.3">
      <c r="A216" s="108"/>
      <c r="B216" s="108"/>
      <c r="C216" s="108"/>
      <c r="D216" s="108"/>
      <c r="E216" s="108"/>
      <c r="F216" s="108"/>
      <c r="G216" s="108"/>
      <c r="H216" s="108"/>
      <c r="I216" s="108"/>
    </row>
    <row r="217" spans="1:9" s="104" customFormat="1" ht="26.4" x14ac:dyDescent="0.3">
      <c r="A217" s="114" t="s">
        <v>1</v>
      </c>
      <c r="B217" s="114" t="s">
        <v>2</v>
      </c>
      <c r="C217" s="115" t="s">
        <v>3</v>
      </c>
      <c r="D217" s="116"/>
      <c r="E217" s="114" t="s">
        <v>4</v>
      </c>
      <c r="F217" s="114" t="s">
        <v>5</v>
      </c>
      <c r="G217" s="137" t="s">
        <v>6</v>
      </c>
      <c r="H217" s="114" t="s">
        <v>7</v>
      </c>
      <c r="I217" s="114" t="s">
        <v>8</v>
      </c>
    </row>
    <row r="218" spans="1:9" s="104" customFormat="1" x14ac:dyDescent="0.3">
      <c r="A218" s="118"/>
      <c r="B218" s="118"/>
      <c r="C218" s="119" t="s">
        <v>9</v>
      </c>
      <c r="D218" s="119" t="s">
        <v>10</v>
      </c>
      <c r="E218" s="118"/>
      <c r="F218" s="120"/>
      <c r="G218" s="138"/>
      <c r="H218" s="120"/>
      <c r="I218" s="120"/>
    </row>
    <row r="219" spans="1:9" s="104" customFormat="1" x14ac:dyDescent="0.3">
      <c r="A219" s="139">
        <v>45852</v>
      </c>
      <c r="B219" s="125" t="s">
        <v>747</v>
      </c>
      <c r="C219" s="121">
        <v>0.25</v>
      </c>
      <c r="D219" s="121">
        <v>0.27083333333333331</v>
      </c>
      <c r="E219" s="103">
        <f>(D219-C219)*1440</f>
        <v>29.999999999999972</v>
      </c>
      <c r="F219" s="122" t="s">
        <v>658</v>
      </c>
      <c r="G219" s="122" t="s">
        <v>809</v>
      </c>
      <c r="H219" s="122" t="s">
        <v>662</v>
      </c>
      <c r="I219" s="122"/>
    </row>
    <row r="220" spans="1:9" s="104" customFormat="1" x14ac:dyDescent="0.3">
      <c r="A220" s="139">
        <v>45852</v>
      </c>
      <c r="B220" s="125" t="s">
        <v>747</v>
      </c>
      <c r="C220" s="121">
        <v>0.27083333333333331</v>
      </c>
      <c r="D220" s="121">
        <v>0.28125</v>
      </c>
      <c r="E220" s="103">
        <f>(D220-C220)*1440</f>
        <v>15.000000000000027</v>
      </c>
      <c r="F220" s="122" t="s">
        <v>658</v>
      </c>
      <c r="G220" s="125" t="s">
        <v>810</v>
      </c>
      <c r="H220" s="122" t="s">
        <v>662</v>
      </c>
      <c r="I220" s="122"/>
    </row>
    <row r="221" spans="1:9" s="104" customFormat="1" x14ac:dyDescent="0.3">
      <c r="A221" s="139">
        <v>45852</v>
      </c>
      <c r="B221" s="125" t="s">
        <v>747</v>
      </c>
      <c r="C221" s="121">
        <v>0.28125</v>
      </c>
      <c r="D221" s="121">
        <v>0.29166666666666669</v>
      </c>
      <c r="E221" s="103">
        <f>(D221-C221)*1440</f>
        <v>15.000000000000027</v>
      </c>
      <c r="F221" s="122" t="s">
        <v>658</v>
      </c>
      <c r="G221" s="125" t="s">
        <v>811</v>
      </c>
      <c r="H221" s="122" t="s">
        <v>662</v>
      </c>
      <c r="I221" s="122"/>
    </row>
    <row r="222" spans="1:9" s="104" customFormat="1" x14ac:dyDescent="0.3">
      <c r="A222" s="139">
        <v>45852</v>
      </c>
      <c r="B222" s="125" t="s">
        <v>747</v>
      </c>
      <c r="C222" s="121">
        <v>0.29166666666666669</v>
      </c>
      <c r="D222" s="121">
        <v>0.30208333333333331</v>
      </c>
      <c r="E222" s="103">
        <f t="shared" ref="E222:E241" si="10">(D222-C222)*1440</f>
        <v>14.999999999999947</v>
      </c>
      <c r="F222" s="122" t="s">
        <v>658</v>
      </c>
      <c r="G222" s="122" t="s">
        <v>812</v>
      </c>
      <c r="H222" s="145" t="s">
        <v>813</v>
      </c>
      <c r="I222" s="122"/>
    </row>
    <row r="223" spans="1:9" s="104" customFormat="1" x14ac:dyDescent="0.3">
      <c r="A223" s="139">
        <v>45852</v>
      </c>
      <c r="B223" s="125" t="s">
        <v>747</v>
      </c>
      <c r="C223" s="121">
        <v>0.30208333333333331</v>
      </c>
      <c r="D223" s="121">
        <v>0.33333333333333331</v>
      </c>
      <c r="E223" s="103">
        <f t="shared" si="10"/>
        <v>45</v>
      </c>
      <c r="F223" s="122" t="s">
        <v>658</v>
      </c>
      <c r="G223" s="122" t="s">
        <v>814</v>
      </c>
      <c r="H223" s="145" t="s">
        <v>767</v>
      </c>
      <c r="I223" s="122"/>
    </row>
    <row r="224" spans="1:9" s="104" customFormat="1" x14ac:dyDescent="0.3">
      <c r="A224" s="139">
        <v>45852</v>
      </c>
      <c r="B224" s="125" t="s">
        <v>747</v>
      </c>
      <c r="C224" s="121">
        <v>0.33333333333333331</v>
      </c>
      <c r="D224" s="121">
        <v>0.36458333333333331</v>
      </c>
      <c r="E224" s="103">
        <f t="shared" si="10"/>
        <v>45</v>
      </c>
      <c r="F224" s="122" t="s">
        <v>658</v>
      </c>
      <c r="G224" s="125" t="s">
        <v>815</v>
      </c>
      <c r="H224" s="156" t="s">
        <v>813</v>
      </c>
      <c r="I224" s="125"/>
    </row>
    <row r="225" spans="1:9" s="104" customFormat="1" x14ac:dyDescent="0.3">
      <c r="A225" s="139">
        <v>45852</v>
      </c>
      <c r="B225" s="125" t="s">
        <v>747</v>
      </c>
      <c r="C225" s="121">
        <v>0.36458333333333331</v>
      </c>
      <c r="D225" s="121">
        <v>0.37152777777777779</v>
      </c>
      <c r="E225" s="103">
        <f t="shared" si="10"/>
        <v>10.000000000000044</v>
      </c>
      <c r="F225" s="122" t="s">
        <v>658</v>
      </c>
      <c r="G225" s="122" t="s">
        <v>816</v>
      </c>
      <c r="H225" s="122" t="s">
        <v>817</v>
      </c>
      <c r="I225" s="125"/>
    </row>
    <row r="226" spans="1:9" s="104" customFormat="1" x14ac:dyDescent="0.3">
      <c r="A226" s="139">
        <v>45852</v>
      </c>
      <c r="B226" s="125" t="s">
        <v>747</v>
      </c>
      <c r="C226" s="121">
        <v>0.37152777777777779</v>
      </c>
      <c r="D226" s="121">
        <v>0.38541666666666669</v>
      </c>
      <c r="E226" s="103">
        <f t="shared" si="10"/>
        <v>20.000000000000007</v>
      </c>
      <c r="F226" s="122" t="s">
        <v>658</v>
      </c>
      <c r="G226" s="125" t="s">
        <v>818</v>
      </c>
      <c r="H226" s="122" t="s">
        <v>662</v>
      </c>
      <c r="I226" s="125"/>
    </row>
    <row r="227" spans="1:9" s="104" customFormat="1" x14ac:dyDescent="0.3">
      <c r="A227" s="139">
        <v>45852</v>
      </c>
      <c r="B227" s="125" t="s">
        <v>747</v>
      </c>
      <c r="C227" s="121">
        <v>0.38541666666666669</v>
      </c>
      <c r="D227" s="121">
        <v>0.41666666666666669</v>
      </c>
      <c r="E227" s="103">
        <f t="shared" si="10"/>
        <v>45</v>
      </c>
      <c r="F227" s="122" t="s">
        <v>658</v>
      </c>
      <c r="G227" s="125" t="s">
        <v>819</v>
      </c>
      <c r="H227" s="125" t="s">
        <v>673</v>
      </c>
      <c r="I227" s="125"/>
    </row>
    <row r="228" spans="1:9" s="104" customFormat="1" x14ac:dyDescent="0.3">
      <c r="A228" s="139">
        <v>45852</v>
      </c>
      <c r="B228" s="125" t="s">
        <v>747</v>
      </c>
      <c r="C228" s="121">
        <v>0.41666666666666669</v>
      </c>
      <c r="D228" s="121">
        <v>0.4236111111111111</v>
      </c>
      <c r="E228" s="103">
        <f t="shared" si="10"/>
        <v>9.9999999999999645</v>
      </c>
      <c r="F228" s="122" t="s">
        <v>658</v>
      </c>
      <c r="G228" s="125" t="s">
        <v>579</v>
      </c>
      <c r="H228" s="125" t="s">
        <v>579</v>
      </c>
      <c r="I228" s="125"/>
    </row>
    <row r="229" spans="1:9" s="104" customFormat="1" x14ac:dyDescent="0.3">
      <c r="A229" s="139">
        <v>45852</v>
      </c>
      <c r="B229" s="125" t="s">
        <v>747</v>
      </c>
      <c r="C229" s="121">
        <v>0.4236111111111111</v>
      </c>
      <c r="D229" s="121">
        <v>0.44444444444444442</v>
      </c>
      <c r="E229" s="103">
        <f t="shared" si="10"/>
        <v>29.999999999999972</v>
      </c>
      <c r="F229" s="122" t="s">
        <v>658</v>
      </c>
      <c r="G229" s="125" t="s">
        <v>820</v>
      </c>
      <c r="H229" s="125" t="s">
        <v>673</v>
      </c>
      <c r="I229" s="125"/>
    </row>
    <row r="230" spans="1:9" s="104" customFormat="1" x14ac:dyDescent="0.3">
      <c r="A230" s="139">
        <v>45852</v>
      </c>
      <c r="B230" s="125" t="s">
        <v>747</v>
      </c>
      <c r="C230" s="121">
        <v>0.44444444444444442</v>
      </c>
      <c r="D230" s="121">
        <v>0.47916666666666669</v>
      </c>
      <c r="E230" s="103">
        <f t="shared" si="10"/>
        <v>50.000000000000064</v>
      </c>
      <c r="F230" s="122" t="s">
        <v>658</v>
      </c>
      <c r="G230" s="125" t="s">
        <v>821</v>
      </c>
      <c r="H230" s="122" t="s">
        <v>662</v>
      </c>
      <c r="I230" s="125"/>
    </row>
    <row r="231" spans="1:9" s="104" customFormat="1" x14ac:dyDescent="0.3">
      <c r="A231" s="139">
        <v>45852</v>
      </c>
      <c r="B231" s="125" t="s">
        <v>747</v>
      </c>
      <c r="C231" s="121">
        <v>0.47916666666666669</v>
      </c>
      <c r="D231" s="121">
        <v>0.48958333333333331</v>
      </c>
      <c r="E231" s="103">
        <f t="shared" si="10"/>
        <v>14.999999999999947</v>
      </c>
      <c r="F231" s="122" t="s">
        <v>658</v>
      </c>
      <c r="G231" s="125" t="s">
        <v>822</v>
      </c>
      <c r="H231" s="122" t="s">
        <v>662</v>
      </c>
      <c r="I231" s="125"/>
    </row>
    <row r="232" spans="1:9" s="104" customFormat="1" x14ac:dyDescent="0.3">
      <c r="A232" s="139">
        <v>45852</v>
      </c>
      <c r="B232" s="125" t="s">
        <v>747</v>
      </c>
      <c r="C232" s="121">
        <v>0.48958333333333331</v>
      </c>
      <c r="D232" s="121">
        <v>0.5</v>
      </c>
      <c r="E232" s="103">
        <f t="shared" si="10"/>
        <v>15.000000000000027</v>
      </c>
      <c r="F232" s="122" t="s">
        <v>658</v>
      </c>
      <c r="G232" s="125" t="s">
        <v>823</v>
      </c>
      <c r="H232" s="122" t="s">
        <v>662</v>
      </c>
      <c r="I232" s="125"/>
    </row>
    <row r="233" spans="1:9" s="104" customFormat="1" x14ac:dyDescent="0.3">
      <c r="A233" s="139">
        <v>45852</v>
      </c>
      <c r="B233" s="125" t="s">
        <v>747</v>
      </c>
      <c r="C233" s="121">
        <v>0.5</v>
      </c>
      <c r="D233" s="121">
        <v>0.54166666666666663</v>
      </c>
      <c r="E233" s="103">
        <f t="shared" si="10"/>
        <v>59.999999999999943</v>
      </c>
      <c r="F233" s="122" t="s">
        <v>658</v>
      </c>
      <c r="G233" s="125" t="s">
        <v>670</v>
      </c>
      <c r="H233" s="145" t="s">
        <v>767</v>
      </c>
      <c r="I233" s="125"/>
    </row>
    <row r="234" spans="1:9" s="104" customFormat="1" x14ac:dyDescent="0.3">
      <c r="A234" s="139">
        <v>45852</v>
      </c>
      <c r="B234" s="125" t="s">
        <v>747</v>
      </c>
      <c r="C234" s="121">
        <v>0.54166666666666663</v>
      </c>
      <c r="D234" s="121">
        <v>0.55208333333333337</v>
      </c>
      <c r="E234" s="103">
        <f t="shared" si="10"/>
        <v>15.000000000000107</v>
      </c>
      <c r="F234" s="122" t="s">
        <v>658</v>
      </c>
      <c r="G234" s="125" t="s">
        <v>824</v>
      </c>
      <c r="H234" s="125" t="s">
        <v>662</v>
      </c>
      <c r="I234" s="125"/>
    </row>
    <row r="235" spans="1:9" s="104" customFormat="1" x14ac:dyDescent="0.3">
      <c r="A235" s="139">
        <v>45852</v>
      </c>
      <c r="B235" s="125" t="s">
        <v>747</v>
      </c>
      <c r="C235" s="121">
        <v>0.55208333333333337</v>
      </c>
      <c r="D235" s="121">
        <v>0.57291666666666663</v>
      </c>
      <c r="E235" s="103">
        <f t="shared" si="10"/>
        <v>29.999999999999893</v>
      </c>
      <c r="F235" s="122" t="s">
        <v>658</v>
      </c>
      <c r="G235" s="125" t="s">
        <v>825</v>
      </c>
      <c r="H235" s="125" t="s">
        <v>673</v>
      </c>
      <c r="I235" s="125"/>
    </row>
    <row r="236" spans="1:9" s="104" customFormat="1" x14ac:dyDescent="0.3">
      <c r="A236" s="139">
        <v>45852</v>
      </c>
      <c r="B236" s="125" t="s">
        <v>747</v>
      </c>
      <c r="C236" s="121">
        <v>0.57291666666666663</v>
      </c>
      <c r="D236" s="121">
        <v>0.58333333333333337</v>
      </c>
      <c r="E236" s="103">
        <f t="shared" si="10"/>
        <v>15.000000000000107</v>
      </c>
      <c r="F236" s="122" t="s">
        <v>658</v>
      </c>
      <c r="G236" s="125" t="s">
        <v>826</v>
      </c>
      <c r="H236" s="125" t="s">
        <v>662</v>
      </c>
      <c r="I236" s="125"/>
    </row>
    <row r="237" spans="1:9" s="104" customFormat="1" x14ac:dyDescent="0.3">
      <c r="A237" s="139">
        <v>45852</v>
      </c>
      <c r="B237" s="125" t="s">
        <v>747</v>
      </c>
      <c r="C237" s="121">
        <v>0.58333333333333337</v>
      </c>
      <c r="D237" s="121">
        <v>0.59027777777777779</v>
      </c>
      <c r="E237" s="103">
        <f t="shared" si="10"/>
        <v>9.9999999999999645</v>
      </c>
      <c r="F237" s="140" t="s">
        <v>658</v>
      </c>
      <c r="G237" s="125" t="s">
        <v>827</v>
      </c>
      <c r="H237" s="125" t="s">
        <v>662</v>
      </c>
      <c r="I237" s="125"/>
    </row>
    <row r="238" spans="1:9" s="104" customFormat="1" x14ac:dyDescent="0.3">
      <c r="A238" s="139">
        <v>45852</v>
      </c>
      <c r="B238" s="125" t="s">
        <v>747</v>
      </c>
      <c r="C238" s="121">
        <v>0.59027777777777779</v>
      </c>
      <c r="D238" s="121">
        <v>0.60069444444444442</v>
      </c>
      <c r="E238" s="142">
        <f t="shared" si="10"/>
        <v>14.999999999999947</v>
      </c>
      <c r="F238" s="143" t="s">
        <v>658</v>
      </c>
      <c r="G238" s="127" t="s">
        <v>828</v>
      </c>
      <c r="H238" s="125" t="s">
        <v>662</v>
      </c>
      <c r="I238" s="125"/>
    </row>
    <row r="239" spans="1:9" s="104" customFormat="1" x14ac:dyDescent="0.3">
      <c r="A239" s="139">
        <v>45852</v>
      </c>
      <c r="B239" s="125" t="s">
        <v>747</v>
      </c>
      <c r="C239" s="121">
        <v>0.60069444444444442</v>
      </c>
      <c r="D239" s="121">
        <v>0.61458333333333337</v>
      </c>
      <c r="E239" s="142">
        <f t="shared" si="10"/>
        <v>20.000000000000089</v>
      </c>
      <c r="F239" s="146" t="s">
        <v>658</v>
      </c>
      <c r="G239" s="144" t="s">
        <v>829</v>
      </c>
      <c r="H239" s="125" t="s">
        <v>662</v>
      </c>
      <c r="I239" s="143"/>
    </row>
    <row r="240" spans="1:9" s="104" customFormat="1" x14ac:dyDescent="0.3">
      <c r="A240" s="139">
        <v>45852</v>
      </c>
      <c r="B240" s="125" t="s">
        <v>747</v>
      </c>
      <c r="C240" s="121">
        <v>0.61458333333333337</v>
      </c>
      <c r="D240" s="121">
        <v>0.62152777777777779</v>
      </c>
      <c r="E240" s="142">
        <f t="shared" si="10"/>
        <v>9.9999999999999645</v>
      </c>
      <c r="F240" s="143" t="s">
        <v>658</v>
      </c>
      <c r="G240" s="127" t="s">
        <v>830</v>
      </c>
      <c r="H240" s="125" t="s">
        <v>662</v>
      </c>
      <c r="I240" s="125"/>
    </row>
    <row r="241" spans="1:9" s="104" customFormat="1" x14ac:dyDescent="0.3">
      <c r="A241" s="139">
        <v>45852</v>
      </c>
      <c r="B241" s="125" t="s">
        <v>747</v>
      </c>
      <c r="C241" s="121">
        <v>0.62152777777777779</v>
      </c>
      <c r="D241" s="121">
        <v>0.63194444444444442</v>
      </c>
      <c r="E241" s="142">
        <f t="shared" si="10"/>
        <v>14.999999999999947</v>
      </c>
      <c r="F241" s="143" t="s">
        <v>658</v>
      </c>
      <c r="G241" s="127" t="s">
        <v>806</v>
      </c>
      <c r="H241" s="125" t="s">
        <v>662</v>
      </c>
      <c r="I241" s="125"/>
    </row>
    <row r="242" spans="1:9" s="104" customFormat="1" x14ac:dyDescent="0.3">
      <c r="A242" s="108"/>
      <c r="B242" s="108"/>
      <c r="C242" s="108"/>
      <c r="D242" s="108"/>
      <c r="E242" s="108"/>
      <c r="F242" s="108"/>
      <c r="G242" s="108"/>
      <c r="H242" s="108"/>
      <c r="I242" s="108"/>
    </row>
    <row r="243" spans="1:9" s="104" customFormat="1" ht="26.4" x14ac:dyDescent="0.3">
      <c r="A243" s="114" t="s">
        <v>1</v>
      </c>
      <c r="B243" s="114" t="s">
        <v>2</v>
      </c>
      <c r="C243" s="115" t="s">
        <v>3</v>
      </c>
      <c r="D243" s="116"/>
      <c r="E243" s="114" t="s">
        <v>4</v>
      </c>
      <c r="F243" s="114" t="s">
        <v>5</v>
      </c>
      <c r="G243" s="137" t="s">
        <v>6</v>
      </c>
      <c r="H243" s="114" t="s">
        <v>7</v>
      </c>
      <c r="I243" s="114" t="s">
        <v>8</v>
      </c>
    </row>
    <row r="244" spans="1:9" s="104" customFormat="1" x14ac:dyDescent="0.3">
      <c r="A244" s="118"/>
      <c r="B244" s="118"/>
      <c r="C244" s="119" t="s">
        <v>9</v>
      </c>
      <c r="D244" s="119" t="s">
        <v>10</v>
      </c>
      <c r="E244" s="118"/>
      <c r="F244" s="120"/>
      <c r="G244" s="138"/>
      <c r="H244" s="120"/>
      <c r="I244" s="120"/>
    </row>
    <row r="245" spans="1:9" s="104" customFormat="1" x14ac:dyDescent="0.3">
      <c r="A245" s="139">
        <v>45853</v>
      </c>
      <c r="B245" s="125" t="s">
        <v>831</v>
      </c>
      <c r="C245" s="121">
        <v>0.25</v>
      </c>
      <c r="D245" s="121">
        <v>0.27083333333333331</v>
      </c>
      <c r="E245" s="103">
        <f t="shared" ref="E245:E263" si="11">(D245-C245)*1440</f>
        <v>29.999999999999972</v>
      </c>
      <c r="F245" s="122" t="s">
        <v>658</v>
      </c>
      <c r="G245" s="122" t="s">
        <v>832</v>
      </c>
      <c r="H245" s="122" t="s">
        <v>662</v>
      </c>
      <c r="I245" s="122"/>
    </row>
    <row r="246" spans="1:9" s="104" customFormat="1" x14ac:dyDescent="0.3">
      <c r="A246" s="139">
        <v>45853</v>
      </c>
      <c r="B246" s="125" t="s">
        <v>831</v>
      </c>
      <c r="C246" s="121">
        <v>0.27083333333333331</v>
      </c>
      <c r="D246" s="121">
        <v>0.29166666666666669</v>
      </c>
      <c r="E246" s="103">
        <f t="shared" si="11"/>
        <v>30.000000000000053</v>
      </c>
      <c r="F246" s="122" t="s">
        <v>658</v>
      </c>
      <c r="G246" s="125" t="s">
        <v>810</v>
      </c>
      <c r="H246" s="122" t="s">
        <v>662</v>
      </c>
      <c r="I246" s="122"/>
    </row>
    <row r="247" spans="1:9" s="104" customFormat="1" x14ac:dyDescent="0.3">
      <c r="A247" s="139">
        <v>45853</v>
      </c>
      <c r="B247" s="125" t="s">
        <v>831</v>
      </c>
      <c r="C247" s="121">
        <v>0.29166666666666669</v>
      </c>
      <c r="D247" s="121">
        <v>0.30208333333333331</v>
      </c>
      <c r="E247" s="103">
        <f t="shared" si="11"/>
        <v>14.999999999999947</v>
      </c>
      <c r="F247" s="122" t="s">
        <v>658</v>
      </c>
      <c r="G247" s="125" t="s">
        <v>833</v>
      </c>
      <c r="H247" s="122" t="s">
        <v>662</v>
      </c>
      <c r="I247" s="122"/>
    </row>
    <row r="248" spans="1:9" s="104" customFormat="1" x14ac:dyDescent="0.3">
      <c r="A248" s="139">
        <v>45853</v>
      </c>
      <c r="B248" s="125" t="s">
        <v>831</v>
      </c>
      <c r="C248" s="121">
        <v>0.30208333333333331</v>
      </c>
      <c r="D248" s="121">
        <v>0.33333333333333331</v>
      </c>
      <c r="E248" s="103">
        <f t="shared" si="11"/>
        <v>45</v>
      </c>
      <c r="F248" s="122" t="s">
        <v>658</v>
      </c>
      <c r="G248" s="122" t="s">
        <v>814</v>
      </c>
      <c r="H248" s="145" t="s">
        <v>767</v>
      </c>
      <c r="I248" s="122"/>
    </row>
    <row r="249" spans="1:9" s="104" customFormat="1" x14ac:dyDescent="0.3">
      <c r="A249" s="139">
        <v>45853</v>
      </c>
      <c r="B249" s="125" t="s">
        <v>831</v>
      </c>
      <c r="C249" s="121">
        <v>0.33333333333333331</v>
      </c>
      <c r="D249" s="121">
        <v>0.35069444444444442</v>
      </c>
      <c r="E249" s="103">
        <f t="shared" si="11"/>
        <v>24.999999999999993</v>
      </c>
      <c r="F249" s="122" t="s">
        <v>658</v>
      </c>
      <c r="G249" s="122" t="s">
        <v>834</v>
      </c>
      <c r="H249" s="122" t="s">
        <v>662</v>
      </c>
      <c r="I249" s="122"/>
    </row>
    <row r="250" spans="1:9" s="104" customFormat="1" x14ac:dyDescent="0.3">
      <c r="A250" s="139">
        <v>45853</v>
      </c>
      <c r="B250" s="125" t="s">
        <v>831</v>
      </c>
      <c r="C250" s="121">
        <v>0.35069444444444442</v>
      </c>
      <c r="D250" s="121">
        <v>0.3923611111111111</v>
      </c>
      <c r="E250" s="103">
        <f t="shared" si="11"/>
        <v>60.000000000000028</v>
      </c>
      <c r="F250" s="122" t="s">
        <v>658</v>
      </c>
      <c r="G250" s="125" t="s">
        <v>835</v>
      </c>
      <c r="H250" s="156" t="s">
        <v>673</v>
      </c>
      <c r="I250" s="125"/>
    </row>
    <row r="251" spans="1:9" s="104" customFormat="1" x14ac:dyDescent="0.3">
      <c r="A251" s="139">
        <v>45853</v>
      </c>
      <c r="B251" s="125" t="s">
        <v>831</v>
      </c>
      <c r="C251" s="121">
        <v>0.3923611111111111</v>
      </c>
      <c r="D251" s="121">
        <v>0.41666666666666669</v>
      </c>
      <c r="E251" s="103">
        <f t="shared" si="11"/>
        <v>35.000000000000036</v>
      </c>
      <c r="F251" s="122" t="s">
        <v>658</v>
      </c>
      <c r="G251" s="122" t="s">
        <v>836</v>
      </c>
      <c r="H251" s="122" t="s">
        <v>836</v>
      </c>
      <c r="I251" s="125"/>
    </row>
    <row r="252" spans="1:9" s="104" customFormat="1" x14ac:dyDescent="0.3">
      <c r="A252" s="139">
        <v>45853</v>
      </c>
      <c r="B252" s="125" t="s">
        <v>831</v>
      </c>
      <c r="C252" s="121">
        <v>0.41666666666666669</v>
      </c>
      <c r="D252" s="121">
        <v>0.42708333333333331</v>
      </c>
      <c r="E252" s="103">
        <f t="shared" si="11"/>
        <v>14.999999999999947</v>
      </c>
      <c r="F252" s="122" t="s">
        <v>658</v>
      </c>
      <c r="G252" s="125" t="s">
        <v>579</v>
      </c>
      <c r="H252" s="145" t="s">
        <v>767</v>
      </c>
      <c r="I252" s="125"/>
    </row>
    <row r="253" spans="1:9" s="104" customFormat="1" x14ac:dyDescent="0.3">
      <c r="A253" s="139">
        <v>45853</v>
      </c>
      <c r="B253" s="125" t="s">
        <v>831</v>
      </c>
      <c r="C253" s="121">
        <v>0.42708333333333331</v>
      </c>
      <c r="D253" s="121">
        <v>0.4375</v>
      </c>
      <c r="E253" s="103">
        <f t="shared" si="11"/>
        <v>15.000000000000027</v>
      </c>
      <c r="F253" s="122" t="s">
        <v>658</v>
      </c>
      <c r="G253" s="125" t="s">
        <v>837</v>
      </c>
      <c r="H253" s="125" t="s">
        <v>673</v>
      </c>
      <c r="I253" s="125"/>
    </row>
    <row r="254" spans="1:9" s="104" customFormat="1" x14ac:dyDescent="0.3">
      <c r="A254" s="139">
        <v>45853</v>
      </c>
      <c r="B254" s="125" t="s">
        <v>831</v>
      </c>
      <c r="C254" s="121">
        <v>0.4375</v>
      </c>
      <c r="D254" s="121">
        <v>0.47916666666666669</v>
      </c>
      <c r="E254" s="103">
        <f t="shared" si="11"/>
        <v>60.000000000000028</v>
      </c>
      <c r="F254" s="122" t="s">
        <v>658</v>
      </c>
      <c r="G254" s="125" t="s">
        <v>838</v>
      </c>
      <c r="H254" s="122" t="s">
        <v>662</v>
      </c>
      <c r="I254" s="125"/>
    </row>
    <row r="255" spans="1:9" s="104" customFormat="1" x14ac:dyDescent="0.3">
      <c r="A255" s="139">
        <v>45853</v>
      </c>
      <c r="B255" s="125" t="s">
        <v>831</v>
      </c>
      <c r="C255" s="121">
        <v>0.47916666666666669</v>
      </c>
      <c r="D255" s="121">
        <v>0.48958333333333331</v>
      </c>
      <c r="E255" s="103">
        <f t="shared" si="11"/>
        <v>14.999999999999947</v>
      </c>
      <c r="F255" s="122" t="s">
        <v>658</v>
      </c>
      <c r="G255" s="125" t="s">
        <v>822</v>
      </c>
      <c r="H255" s="122" t="s">
        <v>662</v>
      </c>
      <c r="I255" s="125"/>
    </row>
    <row r="256" spans="1:9" s="104" customFormat="1" x14ac:dyDescent="0.3">
      <c r="A256" s="139">
        <v>45853</v>
      </c>
      <c r="B256" s="125" t="s">
        <v>831</v>
      </c>
      <c r="C256" s="121">
        <v>0.48958333333333331</v>
      </c>
      <c r="D256" s="121">
        <v>0.5</v>
      </c>
      <c r="E256" s="103">
        <f t="shared" si="11"/>
        <v>15.000000000000027</v>
      </c>
      <c r="F256" s="122" t="s">
        <v>658</v>
      </c>
      <c r="G256" s="125" t="s">
        <v>839</v>
      </c>
      <c r="H256" s="122" t="s">
        <v>673</v>
      </c>
      <c r="I256" s="125"/>
    </row>
    <row r="257" spans="1:9" s="104" customFormat="1" x14ac:dyDescent="0.3">
      <c r="A257" s="139">
        <v>45853</v>
      </c>
      <c r="B257" s="125" t="s">
        <v>831</v>
      </c>
      <c r="C257" s="121">
        <v>0.5</v>
      </c>
      <c r="D257" s="121">
        <v>0.54166666666666663</v>
      </c>
      <c r="E257" s="103">
        <f t="shared" si="11"/>
        <v>59.999999999999943</v>
      </c>
      <c r="F257" s="122" t="s">
        <v>658</v>
      </c>
      <c r="G257" s="125" t="s">
        <v>670</v>
      </c>
      <c r="H257" s="145" t="s">
        <v>767</v>
      </c>
      <c r="I257" s="125"/>
    </row>
    <row r="258" spans="1:9" s="104" customFormat="1" x14ac:dyDescent="0.3">
      <c r="A258" s="139">
        <v>45853</v>
      </c>
      <c r="B258" s="125" t="s">
        <v>831</v>
      </c>
      <c r="C258" s="121">
        <v>0.54166666666666663</v>
      </c>
      <c r="D258" s="121">
        <v>0.55902777777777779</v>
      </c>
      <c r="E258" s="103">
        <f t="shared" si="11"/>
        <v>25.000000000000071</v>
      </c>
      <c r="F258" s="122" t="s">
        <v>658</v>
      </c>
      <c r="G258" s="125" t="s">
        <v>840</v>
      </c>
      <c r="H258" s="125" t="s">
        <v>662</v>
      </c>
      <c r="I258" s="125"/>
    </row>
    <row r="259" spans="1:9" s="104" customFormat="1" x14ac:dyDescent="0.3">
      <c r="A259" s="139">
        <v>45853</v>
      </c>
      <c r="B259" s="125" t="s">
        <v>831</v>
      </c>
      <c r="C259" s="121">
        <v>0.55902777777777779</v>
      </c>
      <c r="D259" s="121">
        <v>0.56944444444444442</v>
      </c>
      <c r="E259" s="103">
        <f t="shared" si="11"/>
        <v>14.999999999999947</v>
      </c>
      <c r="F259" s="122" t="s">
        <v>658</v>
      </c>
      <c r="G259" s="125" t="s">
        <v>841</v>
      </c>
      <c r="H259" s="125" t="s">
        <v>727</v>
      </c>
      <c r="I259" s="125"/>
    </row>
    <row r="260" spans="1:9" s="104" customFormat="1" x14ac:dyDescent="0.3">
      <c r="A260" s="139">
        <v>45853</v>
      </c>
      <c r="B260" s="125" t="s">
        <v>831</v>
      </c>
      <c r="C260" s="121">
        <v>0.56944444444444442</v>
      </c>
      <c r="D260" s="121">
        <v>0.61111111111111116</v>
      </c>
      <c r="E260" s="103">
        <f t="shared" si="11"/>
        <v>60.000000000000107</v>
      </c>
      <c r="F260" s="122" t="s">
        <v>658</v>
      </c>
      <c r="G260" s="125" t="s">
        <v>842</v>
      </c>
      <c r="H260" s="125" t="s">
        <v>662</v>
      </c>
      <c r="I260" s="125"/>
    </row>
    <row r="261" spans="1:9" s="104" customFormat="1" x14ac:dyDescent="0.3">
      <c r="A261" s="139">
        <v>45853</v>
      </c>
      <c r="B261" s="125" t="s">
        <v>831</v>
      </c>
      <c r="C261" s="121">
        <v>0.61111111111111116</v>
      </c>
      <c r="D261" s="121">
        <v>0.62152777777777779</v>
      </c>
      <c r="E261" s="103">
        <f t="shared" si="11"/>
        <v>14.999999999999947</v>
      </c>
      <c r="F261" s="140" t="s">
        <v>658</v>
      </c>
      <c r="G261" s="125" t="s">
        <v>843</v>
      </c>
      <c r="H261" s="125" t="s">
        <v>662</v>
      </c>
      <c r="I261" s="125"/>
    </row>
    <row r="262" spans="1:9" s="104" customFormat="1" x14ac:dyDescent="0.3">
      <c r="A262" s="139">
        <v>45853</v>
      </c>
      <c r="B262" s="125" t="s">
        <v>831</v>
      </c>
      <c r="C262" s="121">
        <v>0.62152777777777779</v>
      </c>
      <c r="D262" s="121">
        <v>0.63194444444444442</v>
      </c>
      <c r="E262" s="142">
        <f t="shared" si="11"/>
        <v>14.999999999999947</v>
      </c>
      <c r="F262" s="143" t="s">
        <v>658</v>
      </c>
      <c r="G262" s="127" t="s">
        <v>829</v>
      </c>
      <c r="H262" s="125" t="s">
        <v>664</v>
      </c>
      <c r="I262" s="125" t="s">
        <v>844</v>
      </c>
    </row>
    <row r="263" spans="1:9" s="104" customFormat="1" x14ac:dyDescent="0.3">
      <c r="A263" s="139">
        <v>45853</v>
      </c>
      <c r="B263" s="125" t="s">
        <v>831</v>
      </c>
      <c r="C263" s="121">
        <v>0.63194444444444442</v>
      </c>
      <c r="D263" s="121">
        <v>0.64236111111111116</v>
      </c>
      <c r="E263" s="142">
        <f t="shared" si="11"/>
        <v>15.000000000000107</v>
      </c>
      <c r="F263" s="146" t="s">
        <v>658</v>
      </c>
      <c r="G263" s="144" t="s">
        <v>845</v>
      </c>
      <c r="H263" s="125" t="s">
        <v>662</v>
      </c>
      <c r="I263" s="143"/>
    </row>
    <row r="264" spans="1:9" s="104" customFormat="1" x14ac:dyDescent="0.3">
      <c r="A264" s="108"/>
      <c r="B264" s="108"/>
      <c r="C264" s="108"/>
      <c r="D264" s="108"/>
      <c r="E264" s="108"/>
      <c r="F264" s="108"/>
      <c r="G264" s="108"/>
      <c r="H264" s="108"/>
      <c r="I264" s="108"/>
    </row>
    <row r="265" spans="1:9" s="104" customFormat="1" ht="26.4" x14ac:dyDescent="0.3">
      <c r="A265" s="114" t="s">
        <v>1</v>
      </c>
      <c r="B265" s="114" t="s">
        <v>2</v>
      </c>
      <c r="C265" s="115" t="s">
        <v>3</v>
      </c>
      <c r="D265" s="116"/>
      <c r="E265" s="114" t="s">
        <v>4</v>
      </c>
      <c r="F265" s="114" t="s">
        <v>5</v>
      </c>
      <c r="G265" s="137" t="s">
        <v>6</v>
      </c>
      <c r="H265" s="114" t="s">
        <v>7</v>
      </c>
      <c r="I265" s="114" t="s">
        <v>8</v>
      </c>
    </row>
    <row r="266" spans="1:9" s="104" customFormat="1" x14ac:dyDescent="0.3">
      <c r="A266" s="118"/>
      <c r="B266" s="118"/>
      <c r="C266" s="119" t="s">
        <v>9</v>
      </c>
      <c r="D266" s="119" t="s">
        <v>10</v>
      </c>
      <c r="E266" s="118"/>
      <c r="F266" s="120"/>
      <c r="G266" s="138"/>
      <c r="H266" s="120"/>
      <c r="I266" s="120"/>
    </row>
    <row r="267" spans="1:9" s="104" customFormat="1" x14ac:dyDescent="0.3">
      <c r="A267" s="139">
        <v>45854</v>
      </c>
      <c r="B267" s="125" t="s">
        <v>846</v>
      </c>
      <c r="C267" s="121">
        <v>0.25</v>
      </c>
      <c r="D267" s="121">
        <v>0.27083333333333331</v>
      </c>
      <c r="E267" s="103">
        <f t="shared" ref="E267:E284" si="12">(D267-C267)*1440</f>
        <v>29.999999999999972</v>
      </c>
      <c r="F267" s="122" t="s">
        <v>658</v>
      </c>
      <c r="G267" s="122" t="s">
        <v>847</v>
      </c>
      <c r="H267" s="122" t="s">
        <v>662</v>
      </c>
      <c r="I267" s="122"/>
    </row>
    <row r="268" spans="1:9" s="104" customFormat="1" x14ac:dyDescent="0.3">
      <c r="A268" s="139">
        <v>45854</v>
      </c>
      <c r="B268" s="125" t="s">
        <v>846</v>
      </c>
      <c r="C268" s="121">
        <v>0.27083333333333331</v>
      </c>
      <c r="D268" s="121">
        <v>0.29166666666666669</v>
      </c>
      <c r="E268" s="103">
        <f t="shared" si="12"/>
        <v>30.000000000000053</v>
      </c>
      <c r="F268" s="122" t="s">
        <v>658</v>
      </c>
      <c r="G268" s="125" t="s">
        <v>810</v>
      </c>
      <c r="H268" s="122" t="s">
        <v>662</v>
      </c>
      <c r="I268" s="122"/>
    </row>
    <row r="269" spans="1:9" s="104" customFormat="1" x14ac:dyDescent="0.3">
      <c r="A269" s="139">
        <v>45854</v>
      </c>
      <c r="B269" s="125" t="s">
        <v>846</v>
      </c>
      <c r="C269" s="121">
        <v>0.29166666666666669</v>
      </c>
      <c r="D269" s="121">
        <v>0.30208333333333331</v>
      </c>
      <c r="E269" s="103">
        <f t="shared" si="12"/>
        <v>14.999999999999947</v>
      </c>
      <c r="F269" s="122" t="s">
        <v>658</v>
      </c>
      <c r="G269" s="125" t="s">
        <v>833</v>
      </c>
      <c r="H269" s="122" t="s">
        <v>662</v>
      </c>
      <c r="I269" s="122"/>
    </row>
    <row r="270" spans="1:9" s="104" customFormat="1" x14ac:dyDescent="0.3">
      <c r="A270" s="139">
        <v>45854</v>
      </c>
      <c r="B270" s="125" t="s">
        <v>846</v>
      </c>
      <c r="C270" s="121">
        <v>0.30208333333333331</v>
      </c>
      <c r="D270" s="121">
        <v>0.33333333333333331</v>
      </c>
      <c r="E270" s="103">
        <f t="shared" si="12"/>
        <v>45</v>
      </c>
      <c r="F270" s="122" t="s">
        <v>658</v>
      </c>
      <c r="G270" s="122" t="s">
        <v>814</v>
      </c>
      <c r="H270" s="145" t="s">
        <v>767</v>
      </c>
      <c r="I270" s="122"/>
    </row>
    <row r="271" spans="1:9" s="104" customFormat="1" x14ac:dyDescent="0.3">
      <c r="A271" s="139">
        <v>45854</v>
      </c>
      <c r="B271" s="125" t="s">
        <v>846</v>
      </c>
      <c r="C271" s="121">
        <v>0.33333333333333331</v>
      </c>
      <c r="D271" s="121">
        <v>0.34027777777777779</v>
      </c>
      <c r="E271" s="103">
        <f t="shared" si="12"/>
        <v>10.000000000000044</v>
      </c>
      <c r="F271" s="122" t="s">
        <v>658</v>
      </c>
      <c r="G271" s="122" t="s">
        <v>848</v>
      </c>
      <c r="H271" s="122" t="s">
        <v>662</v>
      </c>
      <c r="I271" s="122"/>
    </row>
    <row r="272" spans="1:9" s="104" customFormat="1" x14ac:dyDescent="0.3">
      <c r="A272" s="139">
        <v>45854</v>
      </c>
      <c r="B272" s="125" t="s">
        <v>846</v>
      </c>
      <c r="C272" s="121">
        <v>0.34027777777777779</v>
      </c>
      <c r="D272" s="121">
        <v>0.375</v>
      </c>
      <c r="E272" s="103">
        <f t="shared" si="12"/>
        <v>49.999999999999986</v>
      </c>
      <c r="F272" s="122" t="s">
        <v>658</v>
      </c>
      <c r="G272" s="125" t="s">
        <v>849</v>
      </c>
      <c r="H272" s="122" t="s">
        <v>662</v>
      </c>
      <c r="I272" s="125"/>
    </row>
    <row r="273" spans="1:9" s="104" customFormat="1" x14ac:dyDescent="0.3">
      <c r="A273" s="139">
        <v>45854</v>
      </c>
      <c r="B273" s="125" t="s">
        <v>846</v>
      </c>
      <c r="C273" s="121">
        <v>0.375</v>
      </c>
      <c r="D273" s="121">
        <v>0.41666666666666669</v>
      </c>
      <c r="E273" s="103">
        <f t="shared" si="12"/>
        <v>60.000000000000028</v>
      </c>
      <c r="F273" s="122" t="s">
        <v>658</v>
      </c>
      <c r="G273" s="122" t="s">
        <v>704</v>
      </c>
      <c r="H273" s="125" t="s">
        <v>673</v>
      </c>
      <c r="I273" s="125"/>
    </row>
    <row r="274" spans="1:9" s="104" customFormat="1" x14ac:dyDescent="0.3">
      <c r="A274" s="139">
        <v>45854</v>
      </c>
      <c r="B274" s="125" t="s">
        <v>846</v>
      </c>
      <c r="C274" s="121">
        <v>0.41666666666666669</v>
      </c>
      <c r="D274" s="121">
        <v>0.42708333333333331</v>
      </c>
      <c r="E274" s="103">
        <f t="shared" si="12"/>
        <v>14.999999999999947</v>
      </c>
      <c r="F274" s="122" t="s">
        <v>658</v>
      </c>
      <c r="G274" s="125" t="s">
        <v>850</v>
      </c>
      <c r="H274" s="122" t="s">
        <v>662</v>
      </c>
      <c r="I274" s="125"/>
    </row>
    <row r="275" spans="1:9" s="104" customFormat="1" x14ac:dyDescent="0.3">
      <c r="A275" s="139">
        <v>45854</v>
      </c>
      <c r="B275" s="125" t="s">
        <v>846</v>
      </c>
      <c r="C275" s="121">
        <v>0.42708333333333331</v>
      </c>
      <c r="D275" s="121">
        <v>0.4375</v>
      </c>
      <c r="E275" s="103">
        <f t="shared" si="12"/>
        <v>15.000000000000027</v>
      </c>
      <c r="F275" s="122" t="s">
        <v>658</v>
      </c>
      <c r="G275" s="125" t="s">
        <v>851</v>
      </c>
      <c r="H275" s="122" t="s">
        <v>662</v>
      </c>
      <c r="I275" s="125"/>
    </row>
    <row r="276" spans="1:9" s="104" customFormat="1" x14ac:dyDescent="0.3">
      <c r="A276" s="139">
        <v>45854</v>
      </c>
      <c r="B276" s="125" t="s">
        <v>846</v>
      </c>
      <c r="C276" s="121">
        <v>0.4375</v>
      </c>
      <c r="D276" s="121">
        <v>0.45833333333333331</v>
      </c>
      <c r="E276" s="103">
        <f t="shared" si="12"/>
        <v>29.999999999999972</v>
      </c>
      <c r="F276" s="122" t="s">
        <v>658</v>
      </c>
      <c r="G276" s="125" t="s">
        <v>852</v>
      </c>
      <c r="H276" s="122" t="s">
        <v>662</v>
      </c>
      <c r="I276" s="125"/>
    </row>
    <row r="277" spans="1:9" s="104" customFormat="1" x14ac:dyDescent="0.3">
      <c r="A277" s="139">
        <v>45854</v>
      </c>
      <c r="B277" s="125" t="s">
        <v>846</v>
      </c>
      <c r="C277" s="121">
        <v>0.45833333333333331</v>
      </c>
      <c r="D277" s="121">
        <v>0.5</v>
      </c>
      <c r="E277" s="103">
        <f t="shared" si="12"/>
        <v>60.000000000000028</v>
      </c>
      <c r="F277" s="122" t="s">
        <v>658</v>
      </c>
      <c r="G277" s="125" t="s">
        <v>853</v>
      </c>
      <c r="H277" s="122" t="s">
        <v>673</v>
      </c>
      <c r="I277" s="125"/>
    </row>
    <row r="278" spans="1:9" s="104" customFormat="1" x14ac:dyDescent="0.3">
      <c r="A278" s="139">
        <v>45854</v>
      </c>
      <c r="B278" s="125" t="s">
        <v>846</v>
      </c>
      <c r="C278" s="121">
        <v>0.5</v>
      </c>
      <c r="D278" s="121">
        <v>0.54166666666666663</v>
      </c>
      <c r="E278" s="103">
        <f t="shared" si="12"/>
        <v>59.999999999999943</v>
      </c>
      <c r="F278" s="122" t="s">
        <v>658</v>
      </c>
      <c r="G278" s="125" t="s">
        <v>670</v>
      </c>
      <c r="H278" s="122" t="s">
        <v>670</v>
      </c>
      <c r="I278" s="125"/>
    </row>
    <row r="279" spans="1:9" s="104" customFormat="1" x14ac:dyDescent="0.3">
      <c r="A279" s="139">
        <v>45854</v>
      </c>
      <c r="B279" s="125" t="s">
        <v>846</v>
      </c>
      <c r="C279" s="121">
        <v>0.54166666666666663</v>
      </c>
      <c r="D279" s="121">
        <v>0.55902777777777779</v>
      </c>
      <c r="E279" s="103">
        <f t="shared" si="12"/>
        <v>25.000000000000071</v>
      </c>
      <c r="F279" s="122" t="s">
        <v>658</v>
      </c>
      <c r="G279" s="125" t="s">
        <v>840</v>
      </c>
      <c r="H279" s="125" t="s">
        <v>662</v>
      </c>
      <c r="I279" s="125"/>
    </row>
    <row r="280" spans="1:9" s="104" customFormat="1" x14ac:dyDescent="0.3">
      <c r="A280" s="139">
        <v>45854</v>
      </c>
      <c r="B280" s="125" t="s">
        <v>846</v>
      </c>
      <c r="C280" s="121">
        <v>0.55902777777777779</v>
      </c>
      <c r="D280" s="121">
        <v>0.56944444444444442</v>
      </c>
      <c r="E280" s="103">
        <f t="shared" si="12"/>
        <v>14.999999999999947</v>
      </c>
      <c r="F280" s="122" t="s">
        <v>658</v>
      </c>
      <c r="G280" s="125" t="s">
        <v>854</v>
      </c>
      <c r="H280" s="125" t="s">
        <v>855</v>
      </c>
      <c r="I280" s="125"/>
    </row>
    <row r="281" spans="1:9" s="104" customFormat="1" x14ac:dyDescent="0.3">
      <c r="A281" s="139">
        <v>45854</v>
      </c>
      <c r="B281" s="125" t="s">
        <v>846</v>
      </c>
      <c r="C281" s="121">
        <v>0.56944444444444442</v>
      </c>
      <c r="D281" s="121">
        <v>0.61111111111111116</v>
      </c>
      <c r="E281" s="103">
        <f t="shared" si="12"/>
        <v>60.000000000000107</v>
      </c>
      <c r="F281" s="122" t="s">
        <v>658</v>
      </c>
      <c r="G281" s="125" t="s">
        <v>706</v>
      </c>
      <c r="H281" s="122" t="s">
        <v>673</v>
      </c>
      <c r="I281" s="125"/>
    </row>
    <row r="282" spans="1:9" s="104" customFormat="1" x14ac:dyDescent="0.3">
      <c r="A282" s="139">
        <v>45854</v>
      </c>
      <c r="B282" s="125" t="s">
        <v>846</v>
      </c>
      <c r="C282" s="121">
        <v>0.61111111111111116</v>
      </c>
      <c r="D282" s="121">
        <v>0.62847222222222221</v>
      </c>
      <c r="E282" s="103">
        <f t="shared" si="12"/>
        <v>24.999999999999911</v>
      </c>
      <c r="F282" s="140" t="s">
        <v>658</v>
      </c>
      <c r="G282" s="125" t="s">
        <v>856</v>
      </c>
      <c r="H282" s="125" t="s">
        <v>662</v>
      </c>
      <c r="I282" s="125"/>
    </row>
    <row r="283" spans="1:9" s="104" customFormat="1" x14ac:dyDescent="0.3">
      <c r="A283" s="139">
        <v>45854</v>
      </c>
      <c r="B283" s="125" t="s">
        <v>846</v>
      </c>
      <c r="C283" s="121">
        <v>0.62847222222222221</v>
      </c>
      <c r="D283" s="121">
        <v>0.63888888888888884</v>
      </c>
      <c r="E283" s="142">
        <f t="shared" si="12"/>
        <v>14.999999999999947</v>
      </c>
      <c r="F283" s="143" t="s">
        <v>658</v>
      </c>
      <c r="G283" s="127" t="s">
        <v>857</v>
      </c>
      <c r="H283" s="125" t="s">
        <v>664</v>
      </c>
      <c r="I283" s="125" t="s">
        <v>844</v>
      </c>
    </row>
    <row r="284" spans="1:9" s="104" customFormat="1" x14ac:dyDescent="0.3">
      <c r="A284" s="139">
        <v>45854</v>
      </c>
      <c r="B284" s="125" t="s">
        <v>846</v>
      </c>
      <c r="C284" s="121">
        <v>0.63888888888888884</v>
      </c>
      <c r="D284" s="121">
        <v>0.65625</v>
      </c>
      <c r="E284" s="142">
        <f t="shared" si="12"/>
        <v>25.000000000000071</v>
      </c>
      <c r="F284" s="146" t="s">
        <v>658</v>
      </c>
      <c r="G284" s="144" t="s">
        <v>858</v>
      </c>
      <c r="H284" s="125" t="s">
        <v>859</v>
      </c>
      <c r="I284" s="143"/>
    </row>
    <row r="285" spans="1:9" s="104" customFormat="1" x14ac:dyDescent="0.3">
      <c r="A285" s="108"/>
      <c r="B285" s="108"/>
      <c r="C285" s="108"/>
      <c r="D285" s="108"/>
      <c r="E285" s="108"/>
      <c r="F285" s="108"/>
      <c r="G285" s="108"/>
      <c r="H285" s="108"/>
      <c r="I285" s="108"/>
    </row>
    <row r="286" spans="1:9" s="104" customFormat="1" ht="26.4" x14ac:dyDescent="0.3">
      <c r="A286" s="114" t="s">
        <v>1</v>
      </c>
      <c r="B286" s="114" t="s">
        <v>2</v>
      </c>
      <c r="C286" s="115" t="s">
        <v>3</v>
      </c>
      <c r="D286" s="116"/>
      <c r="E286" s="114" t="s">
        <v>4</v>
      </c>
      <c r="F286" s="114" t="s">
        <v>5</v>
      </c>
      <c r="G286" s="137" t="s">
        <v>6</v>
      </c>
      <c r="H286" s="114" t="s">
        <v>7</v>
      </c>
      <c r="I286" s="114" t="s">
        <v>8</v>
      </c>
    </row>
    <row r="287" spans="1:9" s="104" customFormat="1" x14ac:dyDescent="0.3">
      <c r="A287" s="118"/>
      <c r="B287" s="118"/>
      <c r="C287" s="119" t="s">
        <v>9</v>
      </c>
      <c r="D287" s="119" t="s">
        <v>10</v>
      </c>
      <c r="E287" s="118"/>
      <c r="F287" s="120"/>
      <c r="G287" s="138"/>
      <c r="H287" s="120"/>
      <c r="I287" s="120"/>
    </row>
    <row r="288" spans="1:9" s="104" customFormat="1" x14ac:dyDescent="0.3">
      <c r="A288" s="139">
        <v>45855</v>
      </c>
      <c r="B288" s="125" t="s">
        <v>860</v>
      </c>
      <c r="C288" s="121">
        <v>0.25</v>
      </c>
      <c r="D288" s="121">
        <v>0.27083333333333331</v>
      </c>
      <c r="E288" s="103">
        <f t="shared" ref="E288:E305" si="13">(D288-C288)*1440</f>
        <v>29.999999999999972</v>
      </c>
      <c r="F288" s="122" t="s">
        <v>658</v>
      </c>
      <c r="G288" s="122" t="s">
        <v>847</v>
      </c>
      <c r="H288" s="122" t="s">
        <v>662</v>
      </c>
      <c r="I288" s="122"/>
    </row>
    <row r="289" spans="1:9" s="104" customFormat="1" x14ac:dyDescent="0.3">
      <c r="A289" s="139">
        <v>45855</v>
      </c>
      <c r="B289" s="125" t="s">
        <v>860</v>
      </c>
      <c r="C289" s="121">
        <v>0.27083333333333331</v>
      </c>
      <c r="D289" s="121">
        <v>0.29166666666666669</v>
      </c>
      <c r="E289" s="103">
        <f t="shared" si="13"/>
        <v>30.000000000000053</v>
      </c>
      <c r="F289" s="122" t="s">
        <v>658</v>
      </c>
      <c r="G289" s="125" t="s">
        <v>810</v>
      </c>
      <c r="H289" s="122" t="s">
        <v>662</v>
      </c>
      <c r="I289" s="122"/>
    </row>
    <row r="290" spans="1:9" s="104" customFormat="1" x14ac:dyDescent="0.3">
      <c r="A290" s="139">
        <v>45855</v>
      </c>
      <c r="B290" s="125" t="s">
        <v>860</v>
      </c>
      <c r="C290" s="121">
        <v>0.29166666666666669</v>
      </c>
      <c r="D290" s="121">
        <v>0.30208333333333331</v>
      </c>
      <c r="E290" s="103">
        <f t="shared" si="13"/>
        <v>14.999999999999947</v>
      </c>
      <c r="F290" s="122" t="s">
        <v>658</v>
      </c>
      <c r="G290" s="125" t="s">
        <v>833</v>
      </c>
      <c r="H290" s="122" t="s">
        <v>662</v>
      </c>
      <c r="I290" s="122"/>
    </row>
    <row r="291" spans="1:9" s="104" customFormat="1" x14ac:dyDescent="0.3">
      <c r="A291" s="139">
        <v>45855</v>
      </c>
      <c r="B291" s="125" t="s">
        <v>860</v>
      </c>
      <c r="C291" s="121">
        <v>0.30208333333333331</v>
      </c>
      <c r="D291" s="121">
        <v>0.33333333333333331</v>
      </c>
      <c r="E291" s="103">
        <f t="shared" si="13"/>
        <v>45</v>
      </c>
      <c r="F291" s="122" t="s">
        <v>658</v>
      </c>
      <c r="G291" s="122" t="s">
        <v>814</v>
      </c>
      <c r="H291" s="145" t="s">
        <v>767</v>
      </c>
      <c r="I291" s="122"/>
    </row>
    <row r="292" spans="1:9" s="104" customFormat="1" x14ac:dyDescent="0.3">
      <c r="A292" s="139">
        <v>45855</v>
      </c>
      <c r="B292" s="125" t="s">
        <v>860</v>
      </c>
      <c r="C292" s="121">
        <v>0.33333333333333331</v>
      </c>
      <c r="D292" s="121">
        <v>0.39583333333333331</v>
      </c>
      <c r="E292" s="103">
        <f t="shared" si="13"/>
        <v>90</v>
      </c>
      <c r="F292" s="122" t="s">
        <v>658</v>
      </c>
      <c r="G292" s="122" t="s">
        <v>861</v>
      </c>
      <c r="H292" s="122" t="s">
        <v>695</v>
      </c>
      <c r="I292" s="122"/>
    </row>
    <row r="293" spans="1:9" s="104" customFormat="1" x14ac:dyDescent="0.3">
      <c r="A293" s="139">
        <v>45855</v>
      </c>
      <c r="B293" s="125" t="s">
        <v>860</v>
      </c>
      <c r="C293" s="121">
        <v>0.39583333333333331</v>
      </c>
      <c r="D293" s="121">
        <v>0.40277777777777779</v>
      </c>
      <c r="E293" s="103">
        <f t="shared" si="13"/>
        <v>10.000000000000044</v>
      </c>
      <c r="F293" s="122" t="s">
        <v>658</v>
      </c>
      <c r="G293" s="125" t="s">
        <v>862</v>
      </c>
      <c r="H293" s="122" t="s">
        <v>662</v>
      </c>
      <c r="I293" s="125"/>
    </row>
    <row r="294" spans="1:9" s="104" customFormat="1" x14ac:dyDescent="0.3">
      <c r="A294" s="139">
        <v>45855</v>
      </c>
      <c r="B294" s="125" t="s">
        <v>860</v>
      </c>
      <c r="C294" s="121">
        <v>0.40277777777777779</v>
      </c>
      <c r="D294" s="121">
        <v>0.4236111111111111</v>
      </c>
      <c r="E294" s="103">
        <f t="shared" si="13"/>
        <v>29.999999999999972</v>
      </c>
      <c r="F294" s="122" t="s">
        <v>658</v>
      </c>
      <c r="G294" s="122" t="s">
        <v>863</v>
      </c>
      <c r="H294" s="125" t="s">
        <v>673</v>
      </c>
      <c r="I294" s="125"/>
    </row>
    <row r="295" spans="1:9" s="104" customFormat="1" x14ac:dyDescent="0.3">
      <c r="A295" s="139">
        <v>45855</v>
      </c>
      <c r="B295" s="125" t="s">
        <v>860</v>
      </c>
      <c r="C295" s="121">
        <v>0.4236111111111111</v>
      </c>
      <c r="D295" s="121">
        <v>0.44444444444444442</v>
      </c>
      <c r="E295" s="103">
        <f t="shared" si="13"/>
        <v>29.999999999999972</v>
      </c>
      <c r="F295" s="122" t="s">
        <v>658</v>
      </c>
      <c r="G295" s="125" t="s">
        <v>864</v>
      </c>
      <c r="H295" s="122" t="s">
        <v>662</v>
      </c>
      <c r="I295" s="125"/>
    </row>
    <row r="296" spans="1:9" s="104" customFormat="1" x14ac:dyDescent="0.3">
      <c r="A296" s="139">
        <v>45855</v>
      </c>
      <c r="B296" s="125" t="s">
        <v>860</v>
      </c>
      <c r="C296" s="121">
        <v>0.44444444444444442</v>
      </c>
      <c r="D296" s="121">
        <v>0.47916666666666669</v>
      </c>
      <c r="E296" s="103">
        <f t="shared" si="13"/>
        <v>50.000000000000064</v>
      </c>
      <c r="F296" s="122" t="s">
        <v>658</v>
      </c>
      <c r="G296" s="125" t="s">
        <v>865</v>
      </c>
      <c r="H296" s="122" t="s">
        <v>662</v>
      </c>
      <c r="I296" s="125"/>
    </row>
    <row r="297" spans="1:9" s="104" customFormat="1" x14ac:dyDescent="0.3">
      <c r="A297" s="139">
        <v>45855</v>
      </c>
      <c r="B297" s="125" t="s">
        <v>860</v>
      </c>
      <c r="C297" s="121">
        <v>0.47916666666666669</v>
      </c>
      <c r="D297" s="121">
        <v>0.5</v>
      </c>
      <c r="E297" s="103">
        <f t="shared" si="13"/>
        <v>29.999999999999972</v>
      </c>
      <c r="F297" s="122" t="s">
        <v>658</v>
      </c>
      <c r="G297" s="125" t="s">
        <v>866</v>
      </c>
      <c r="H297" s="122" t="s">
        <v>662</v>
      </c>
      <c r="I297" s="125"/>
    </row>
    <row r="298" spans="1:9" s="104" customFormat="1" x14ac:dyDescent="0.3">
      <c r="A298" s="139">
        <v>45855</v>
      </c>
      <c r="B298" s="125" t="s">
        <v>860</v>
      </c>
      <c r="C298" s="121">
        <v>0.5</v>
      </c>
      <c r="D298" s="121">
        <v>0.54166666666666663</v>
      </c>
      <c r="E298" s="103">
        <f t="shared" si="13"/>
        <v>59.999999999999943</v>
      </c>
      <c r="F298" s="122" t="s">
        <v>658</v>
      </c>
      <c r="G298" s="125" t="s">
        <v>670</v>
      </c>
      <c r="H298" s="122" t="s">
        <v>670</v>
      </c>
      <c r="I298" s="125"/>
    </row>
    <row r="299" spans="1:9" s="104" customFormat="1" x14ac:dyDescent="0.3">
      <c r="A299" s="139">
        <v>45855</v>
      </c>
      <c r="B299" s="125" t="s">
        <v>860</v>
      </c>
      <c r="C299" s="121">
        <v>0.54166666666666663</v>
      </c>
      <c r="D299" s="121">
        <v>0.5625</v>
      </c>
      <c r="E299" s="103">
        <f t="shared" si="13"/>
        <v>30.000000000000053</v>
      </c>
      <c r="F299" s="122" t="s">
        <v>658</v>
      </c>
      <c r="G299" s="125" t="s">
        <v>867</v>
      </c>
      <c r="H299" s="145" t="s">
        <v>767</v>
      </c>
      <c r="I299" s="125"/>
    </row>
    <row r="300" spans="1:9" s="104" customFormat="1" x14ac:dyDescent="0.3">
      <c r="A300" s="139">
        <v>45855</v>
      </c>
      <c r="B300" s="125" t="s">
        <v>860</v>
      </c>
      <c r="C300" s="121">
        <v>0.5625</v>
      </c>
      <c r="D300" s="121">
        <v>0.57986111111111116</v>
      </c>
      <c r="E300" s="103">
        <f t="shared" si="13"/>
        <v>25.000000000000071</v>
      </c>
      <c r="F300" s="122" t="s">
        <v>658</v>
      </c>
      <c r="G300" s="125" t="s">
        <v>840</v>
      </c>
      <c r="H300" s="125" t="s">
        <v>662</v>
      </c>
      <c r="I300" s="125"/>
    </row>
    <row r="301" spans="1:9" s="104" customFormat="1" x14ac:dyDescent="0.3">
      <c r="A301" s="139">
        <v>45855</v>
      </c>
      <c r="B301" s="125" t="s">
        <v>860</v>
      </c>
      <c r="C301" s="121">
        <v>0.57986111111111116</v>
      </c>
      <c r="D301" s="121">
        <v>0.61458333333333337</v>
      </c>
      <c r="E301" s="103">
        <f t="shared" si="13"/>
        <v>49.999999999999986</v>
      </c>
      <c r="F301" s="122" t="s">
        <v>658</v>
      </c>
      <c r="G301" s="125" t="s">
        <v>868</v>
      </c>
      <c r="H301" s="125" t="s">
        <v>662</v>
      </c>
      <c r="I301" s="125"/>
    </row>
    <row r="302" spans="1:9" s="104" customFormat="1" x14ac:dyDescent="0.3">
      <c r="A302" s="139">
        <v>45855</v>
      </c>
      <c r="B302" s="125" t="s">
        <v>860</v>
      </c>
      <c r="C302" s="121">
        <v>0.61458333333333337</v>
      </c>
      <c r="D302" s="121">
        <v>0.625</v>
      </c>
      <c r="E302" s="103">
        <f t="shared" si="13"/>
        <v>14.999999999999947</v>
      </c>
      <c r="F302" s="122" t="s">
        <v>658</v>
      </c>
      <c r="G302" s="125" t="s">
        <v>869</v>
      </c>
      <c r="H302" s="122" t="s">
        <v>727</v>
      </c>
      <c r="I302" s="125"/>
    </row>
    <row r="303" spans="1:9" s="104" customFormat="1" x14ac:dyDescent="0.3">
      <c r="A303" s="139">
        <v>45855</v>
      </c>
      <c r="B303" s="125" t="s">
        <v>860</v>
      </c>
      <c r="C303" s="121">
        <v>0.625</v>
      </c>
      <c r="D303" s="121">
        <v>0.63541666666666663</v>
      </c>
      <c r="E303" s="103">
        <f t="shared" si="13"/>
        <v>14.999999999999947</v>
      </c>
      <c r="F303" s="140" t="s">
        <v>658</v>
      </c>
      <c r="G303" s="125" t="s">
        <v>870</v>
      </c>
      <c r="H303" s="125" t="s">
        <v>662</v>
      </c>
      <c r="I303" s="125"/>
    </row>
    <row r="304" spans="1:9" s="104" customFormat="1" x14ac:dyDescent="0.3">
      <c r="A304" s="139">
        <v>45855</v>
      </c>
      <c r="B304" s="125" t="s">
        <v>860</v>
      </c>
      <c r="C304" s="121">
        <v>0.63541666666666663</v>
      </c>
      <c r="D304" s="121">
        <v>0.64236111111111116</v>
      </c>
      <c r="E304" s="142">
        <f t="shared" si="13"/>
        <v>10.000000000000124</v>
      </c>
      <c r="F304" s="143" t="s">
        <v>658</v>
      </c>
      <c r="G304" s="127" t="s">
        <v>857</v>
      </c>
      <c r="H304" s="125" t="s">
        <v>664</v>
      </c>
      <c r="I304" s="125"/>
    </row>
    <row r="305" spans="1:9" s="104" customFormat="1" x14ac:dyDescent="0.3">
      <c r="A305" s="139">
        <v>45855</v>
      </c>
      <c r="B305" s="125" t="s">
        <v>860</v>
      </c>
      <c r="C305" s="121">
        <v>0.64236111111111116</v>
      </c>
      <c r="D305" s="121">
        <v>0.64930555555555558</v>
      </c>
      <c r="E305" s="142">
        <f t="shared" si="13"/>
        <v>9.9999999999999645</v>
      </c>
      <c r="F305" s="146" t="s">
        <v>658</v>
      </c>
      <c r="G305" s="144" t="s">
        <v>761</v>
      </c>
      <c r="H305" s="125" t="s">
        <v>662</v>
      </c>
      <c r="I305" s="143"/>
    </row>
    <row r="306" spans="1:9" s="104" customFormat="1" x14ac:dyDescent="0.3">
      <c r="A306" s="108"/>
      <c r="B306" s="108"/>
      <c r="C306" s="108"/>
      <c r="D306" s="108"/>
      <c r="E306" s="108"/>
      <c r="F306" s="108"/>
      <c r="G306" s="108"/>
      <c r="H306" s="108"/>
      <c r="I306" s="108"/>
    </row>
    <row r="307" spans="1:9" s="104" customFormat="1" ht="26.4" x14ac:dyDescent="0.3">
      <c r="A307" s="114" t="s">
        <v>1</v>
      </c>
      <c r="B307" s="114" t="s">
        <v>2</v>
      </c>
      <c r="C307" s="115" t="s">
        <v>3</v>
      </c>
      <c r="D307" s="116"/>
      <c r="E307" s="114" t="s">
        <v>4</v>
      </c>
      <c r="F307" s="114" t="s">
        <v>5</v>
      </c>
      <c r="G307" s="137" t="s">
        <v>6</v>
      </c>
      <c r="H307" s="114" t="s">
        <v>7</v>
      </c>
      <c r="I307" s="114" t="s">
        <v>8</v>
      </c>
    </row>
    <row r="308" spans="1:9" s="104" customFormat="1" x14ac:dyDescent="0.3">
      <c r="A308" s="118"/>
      <c r="B308" s="118"/>
      <c r="C308" s="119" t="s">
        <v>9</v>
      </c>
      <c r="D308" s="119" t="s">
        <v>10</v>
      </c>
      <c r="E308" s="118"/>
      <c r="F308" s="120"/>
      <c r="G308" s="138"/>
      <c r="H308" s="120"/>
      <c r="I308" s="120"/>
    </row>
    <row r="309" spans="1:9" s="104" customFormat="1" x14ac:dyDescent="0.3">
      <c r="A309" s="139">
        <v>45856</v>
      </c>
      <c r="B309" s="125" t="s">
        <v>762</v>
      </c>
      <c r="C309" s="121">
        <v>0.25</v>
      </c>
      <c r="D309" s="121">
        <v>0.2638888888888889</v>
      </c>
      <c r="E309" s="103">
        <f t="shared" ref="E309:E327" si="14">(D309-C309)*1440</f>
        <v>20.000000000000007</v>
      </c>
      <c r="F309" s="122" t="s">
        <v>658</v>
      </c>
      <c r="G309" s="122" t="s">
        <v>871</v>
      </c>
      <c r="H309" s="145" t="s">
        <v>660</v>
      </c>
      <c r="I309" s="122"/>
    </row>
    <row r="310" spans="1:9" s="104" customFormat="1" x14ac:dyDescent="0.3">
      <c r="A310" s="139">
        <v>45856</v>
      </c>
      <c r="B310" s="125" t="s">
        <v>762</v>
      </c>
      <c r="C310" s="121">
        <v>0.2638888888888889</v>
      </c>
      <c r="D310" s="121">
        <v>0.27430555555555558</v>
      </c>
      <c r="E310" s="103">
        <f t="shared" si="14"/>
        <v>15.000000000000027</v>
      </c>
      <c r="F310" s="122" t="s">
        <v>658</v>
      </c>
      <c r="G310" s="125" t="s">
        <v>810</v>
      </c>
      <c r="H310" s="125" t="s">
        <v>662</v>
      </c>
      <c r="I310" s="122"/>
    </row>
    <row r="311" spans="1:9" s="104" customFormat="1" x14ac:dyDescent="0.3">
      <c r="A311" s="139">
        <v>45856</v>
      </c>
      <c r="B311" s="125" t="s">
        <v>762</v>
      </c>
      <c r="C311" s="121">
        <v>0.27430555555555558</v>
      </c>
      <c r="D311" s="121">
        <v>0.28125</v>
      </c>
      <c r="E311" s="103">
        <f t="shared" si="14"/>
        <v>9.9999999999999645</v>
      </c>
      <c r="F311" s="122" t="s">
        <v>658</v>
      </c>
      <c r="G311" s="125" t="s">
        <v>872</v>
      </c>
      <c r="H311" s="125" t="s">
        <v>662</v>
      </c>
      <c r="I311" s="122"/>
    </row>
    <row r="312" spans="1:9" s="104" customFormat="1" x14ac:dyDescent="0.3">
      <c r="A312" s="139">
        <v>45856</v>
      </c>
      <c r="B312" s="125" t="s">
        <v>762</v>
      </c>
      <c r="C312" s="121">
        <v>0.28125</v>
      </c>
      <c r="D312" s="121">
        <v>0.30208333333333331</v>
      </c>
      <c r="E312" s="103">
        <f t="shared" si="14"/>
        <v>29.999999999999972</v>
      </c>
      <c r="F312" s="122" t="s">
        <v>658</v>
      </c>
      <c r="G312" s="122" t="s">
        <v>873</v>
      </c>
      <c r="H312" s="125" t="s">
        <v>662</v>
      </c>
      <c r="I312" s="122"/>
    </row>
    <row r="313" spans="1:9" s="104" customFormat="1" x14ac:dyDescent="0.3">
      <c r="A313" s="139">
        <v>45856</v>
      </c>
      <c r="B313" s="125" t="s">
        <v>762</v>
      </c>
      <c r="C313" s="121">
        <v>0.30208333333333331</v>
      </c>
      <c r="D313" s="121">
        <v>0.33333333333333331</v>
      </c>
      <c r="E313" s="103">
        <f t="shared" si="14"/>
        <v>45</v>
      </c>
      <c r="F313" s="122" t="s">
        <v>658</v>
      </c>
      <c r="G313" s="122" t="s">
        <v>814</v>
      </c>
      <c r="H313" s="122" t="s">
        <v>814</v>
      </c>
      <c r="I313" s="122"/>
    </row>
    <row r="314" spans="1:9" s="104" customFormat="1" x14ac:dyDescent="0.3">
      <c r="A314" s="139">
        <v>45856</v>
      </c>
      <c r="B314" s="125" t="s">
        <v>762</v>
      </c>
      <c r="C314" s="121">
        <v>0.33333333333333331</v>
      </c>
      <c r="D314" s="121">
        <v>0.33680555555555558</v>
      </c>
      <c r="E314" s="103">
        <f t="shared" si="14"/>
        <v>5.0000000000000622</v>
      </c>
      <c r="F314" s="122" t="s">
        <v>658</v>
      </c>
      <c r="G314" s="122" t="s">
        <v>874</v>
      </c>
      <c r="H314" s="125" t="s">
        <v>662</v>
      </c>
      <c r="I314" s="122"/>
    </row>
    <row r="315" spans="1:9" s="104" customFormat="1" x14ac:dyDescent="0.3">
      <c r="A315" s="139">
        <v>45856</v>
      </c>
      <c r="B315" s="125" t="s">
        <v>762</v>
      </c>
      <c r="C315" s="121">
        <v>0.33680555555555558</v>
      </c>
      <c r="D315" s="121">
        <v>0.35069444444444442</v>
      </c>
      <c r="E315" s="103">
        <f t="shared" si="14"/>
        <v>19.999999999999929</v>
      </c>
      <c r="F315" s="122" t="s">
        <v>658</v>
      </c>
      <c r="G315" s="122" t="s">
        <v>875</v>
      </c>
      <c r="H315" s="125" t="s">
        <v>662</v>
      </c>
      <c r="I315" s="122"/>
    </row>
    <row r="316" spans="1:9" s="104" customFormat="1" x14ac:dyDescent="0.3">
      <c r="A316" s="139">
        <v>45856</v>
      </c>
      <c r="B316" s="125" t="s">
        <v>762</v>
      </c>
      <c r="C316" s="121">
        <v>0.35069444444444442</v>
      </c>
      <c r="D316" s="121">
        <v>0.39583333333333331</v>
      </c>
      <c r="E316" s="103">
        <f t="shared" si="14"/>
        <v>65.000000000000014</v>
      </c>
      <c r="F316" s="122" t="s">
        <v>658</v>
      </c>
      <c r="G316" s="125" t="s">
        <v>876</v>
      </c>
      <c r="H316" s="125" t="s">
        <v>662</v>
      </c>
      <c r="I316" s="125"/>
    </row>
    <row r="317" spans="1:9" s="104" customFormat="1" x14ac:dyDescent="0.3">
      <c r="A317" s="139">
        <v>45856</v>
      </c>
      <c r="B317" s="125" t="s">
        <v>762</v>
      </c>
      <c r="C317" s="121">
        <v>0.39583333333333331</v>
      </c>
      <c r="D317" s="121">
        <v>0.41666666666666669</v>
      </c>
      <c r="E317" s="103">
        <f t="shared" si="14"/>
        <v>30.000000000000053</v>
      </c>
      <c r="F317" s="122" t="s">
        <v>658</v>
      </c>
      <c r="G317" s="122" t="s">
        <v>877</v>
      </c>
      <c r="H317" s="125" t="s">
        <v>662</v>
      </c>
      <c r="I317" s="125"/>
    </row>
    <row r="318" spans="1:9" s="104" customFormat="1" x14ac:dyDescent="0.3">
      <c r="A318" s="139">
        <v>45856</v>
      </c>
      <c r="B318" s="125" t="s">
        <v>762</v>
      </c>
      <c r="C318" s="121">
        <v>0.41666666666666669</v>
      </c>
      <c r="D318" s="121">
        <v>0.4236111111111111</v>
      </c>
      <c r="E318" s="103">
        <f t="shared" si="14"/>
        <v>9.9999999999999645</v>
      </c>
      <c r="F318" s="122" t="s">
        <v>658</v>
      </c>
      <c r="G318" s="125" t="s">
        <v>579</v>
      </c>
      <c r="H318" s="122" t="s">
        <v>579</v>
      </c>
      <c r="I318" s="125"/>
    </row>
    <row r="319" spans="1:9" s="104" customFormat="1" x14ac:dyDescent="0.3">
      <c r="A319" s="139">
        <v>45856</v>
      </c>
      <c r="B319" s="125" t="s">
        <v>762</v>
      </c>
      <c r="C319" s="121">
        <v>0.4236111111111111</v>
      </c>
      <c r="D319" s="121">
        <v>0.46527777777777779</v>
      </c>
      <c r="E319" s="103">
        <f t="shared" si="14"/>
        <v>60.000000000000028</v>
      </c>
      <c r="F319" s="122" t="s">
        <v>658</v>
      </c>
      <c r="G319" s="125" t="s">
        <v>798</v>
      </c>
      <c r="H319" s="122" t="s">
        <v>673</v>
      </c>
      <c r="I319" s="125"/>
    </row>
    <row r="320" spans="1:9" s="104" customFormat="1" x14ac:dyDescent="0.3">
      <c r="A320" s="139">
        <v>45856</v>
      </c>
      <c r="B320" s="125" t="s">
        <v>762</v>
      </c>
      <c r="C320" s="121">
        <v>0.46527777777777779</v>
      </c>
      <c r="D320" s="121">
        <v>0.46875</v>
      </c>
      <c r="E320" s="103">
        <f t="shared" si="14"/>
        <v>4.9999999999999822</v>
      </c>
      <c r="F320" s="122" t="s">
        <v>658</v>
      </c>
      <c r="G320" s="125" t="s">
        <v>729</v>
      </c>
      <c r="H320" s="125" t="s">
        <v>662</v>
      </c>
      <c r="I320" s="125"/>
    </row>
    <row r="321" spans="1:9" s="104" customFormat="1" x14ac:dyDescent="0.3">
      <c r="A321" s="139">
        <v>45856</v>
      </c>
      <c r="B321" s="125" t="s">
        <v>762</v>
      </c>
      <c r="C321" s="121">
        <v>0.46875</v>
      </c>
      <c r="D321" s="121">
        <v>0.47916666666666669</v>
      </c>
      <c r="E321" s="103">
        <f t="shared" si="14"/>
        <v>15.000000000000027</v>
      </c>
      <c r="F321" s="122" t="s">
        <v>658</v>
      </c>
      <c r="G321" s="125" t="s">
        <v>878</v>
      </c>
      <c r="H321" s="125" t="s">
        <v>662</v>
      </c>
      <c r="I321" s="125"/>
    </row>
    <row r="322" spans="1:9" s="104" customFormat="1" x14ac:dyDescent="0.3">
      <c r="A322" s="139">
        <v>45856</v>
      </c>
      <c r="B322" s="125" t="s">
        <v>762</v>
      </c>
      <c r="C322" s="121">
        <v>0.47916666666666669</v>
      </c>
      <c r="D322" s="121">
        <v>0.54166666666666663</v>
      </c>
      <c r="E322" s="103">
        <f t="shared" si="14"/>
        <v>89.999999999999915</v>
      </c>
      <c r="F322" s="122" t="s">
        <v>658</v>
      </c>
      <c r="G322" s="125" t="s">
        <v>879</v>
      </c>
      <c r="H322" s="145" t="s">
        <v>670</v>
      </c>
      <c r="I322" s="125"/>
    </row>
    <row r="323" spans="1:9" s="104" customFormat="1" x14ac:dyDescent="0.3">
      <c r="A323" s="139">
        <v>45856</v>
      </c>
      <c r="B323" s="125" t="s">
        <v>762</v>
      </c>
      <c r="C323" s="121">
        <v>0.54166666666666663</v>
      </c>
      <c r="D323" s="121">
        <v>0.55902777777777779</v>
      </c>
      <c r="E323" s="103">
        <f t="shared" si="14"/>
        <v>25.000000000000071</v>
      </c>
      <c r="F323" s="122" t="s">
        <v>658</v>
      </c>
      <c r="G323" s="125" t="s">
        <v>840</v>
      </c>
      <c r="H323" s="125" t="s">
        <v>662</v>
      </c>
      <c r="I323" s="125"/>
    </row>
    <row r="324" spans="1:9" s="104" customFormat="1" x14ac:dyDescent="0.3">
      <c r="A324" s="139">
        <v>45856</v>
      </c>
      <c r="B324" s="125" t="s">
        <v>762</v>
      </c>
      <c r="C324" s="121">
        <v>0.55902777777777779</v>
      </c>
      <c r="D324" s="121">
        <v>0.62152777777777779</v>
      </c>
      <c r="E324" s="103">
        <f t="shared" si="14"/>
        <v>90</v>
      </c>
      <c r="F324" s="122" t="s">
        <v>658</v>
      </c>
      <c r="G324" s="125" t="s">
        <v>705</v>
      </c>
      <c r="H324" s="125" t="s">
        <v>880</v>
      </c>
      <c r="I324" s="125"/>
    </row>
    <row r="325" spans="1:9" s="104" customFormat="1" x14ac:dyDescent="0.3">
      <c r="A325" s="139">
        <v>45856</v>
      </c>
      <c r="B325" s="125" t="s">
        <v>762</v>
      </c>
      <c r="C325" s="121">
        <v>0.62152777777777779</v>
      </c>
      <c r="D325" s="121">
        <v>0.63888888888888884</v>
      </c>
      <c r="E325" s="103">
        <f t="shared" si="14"/>
        <v>24.999999999999911</v>
      </c>
      <c r="F325" s="122" t="s">
        <v>658</v>
      </c>
      <c r="G325" s="125" t="s">
        <v>881</v>
      </c>
      <c r="H325" s="122" t="s">
        <v>859</v>
      </c>
      <c r="I325" s="125"/>
    </row>
    <row r="326" spans="1:9" s="104" customFormat="1" x14ac:dyDescent="0.3">
      <c r="A326" s="139">
        <v>45856</v>
      </c>
      <c r="B326" s="125" t="s">
        <v>762</v>
      </c>
      <c r="C326" s="121">
        <v>0.63888888888888884</v>
      </c>
      <c r="D326" s="121">
        <v>0.64930555555555558</v>
      </c>
      <c r="E326" s="103">
        <f t="shared" si="14"/>
        <v>15.000000000000107</v>
      </c>
      <c r="F326" s="140" t="s">
        <v>658</v>
      </c>
      <c r="G326" s="144" t="s">
        <v>761</v>
      </c>
      <c r="H326" s="125" t="s">
        <v>662</v>
      </c>
      <c r="I326" s="125"/>
    </row>
    <row r="327" spans="1:9" s="104" customFormat="1" x14ac:dyDescent="0.3">
      <c r="A327" s="139">
        <v>45856</v>
      </c>
      <c r="B327" s="125" t="s">
        <v>762</v>
      </c>
      <c r="C327" s="121">
        <v>0.63541666666666663</v>
      </c>
      <c r="D327" s="121">
        <v>0.64236111111111116</v>
      </c>
      <c r="E327" s="142">
        <f t="shared" si="14"/>
        <v>10.000000000000124</v>
      </c>
      <c r="F327" s="143" t="s">
        <v>658</v>
      </c>
      <c r="G327" s="127" t="s">
        <v>857</v>
      </c>
      <c r="H327" s="125" t="s">
        <v>664</v>
      </c>
      <c r="I327" s="125"/>
    </row>
    <row r="328" spans="1:9" s="104" customFormat="1" x14ac:dyDescent="0.3">
      <c r="A328" s="108"/>
      <c r="B328" s="108"/>
      <c r="C328" s="108"/>
      <c r="D328" s="108"/>
      <c r="E328" s="108"/>
      <c r="F328" s="108"/>
      <c r="G328" s="108"/>
      <c r="H328" s="108"/>
      <c r="I328" s="108"/>
    </row>
    <row r="329" spans="1:9" s="104" customFormat="1" ht="26.4" x14ac:dyDescent="0.3">
      <c r="A329" s="114" t="s">
        <v>1</v>
      </c>
      <c r="B329" s="114" t="s">
        <v>2</v>
      </c>
      <c r="C329" s="115" t="s">
        <v>3</v>
      </c>
      <c r="D329" s="116"/>
      <c r="E329" s="114" t="s">
        <v>4</v>
      </c>
      <c r="F329" s="114" t="s">
        <v>5</v>
      </c>
      <c r="G329" s="137" t="s">
        <v>6</v>
      </c>
      <c r="H329" s="114" t="s">
        <v>7</v>
      </c>
      <c r="I329" s="114" t="s">
        <v>8</v>
      </c>
    </row>
    <row r="330" spans="1:9" s="104" customFormat="1" x14ac:dyDescent="0.3">
      <c r="A330" s="118"/>
      <c r="B330" s="118"/>
      <c r="C330" s="119" t="s">
        <v>9</v>
      </c>
      <c r="D330" s="119" t="s">
        <v>10</v>
      </c>
      <c r="E330" s="118"/>
      <c r="F330" s="120"/>
      <c r="G330" s="138"/>
      <c r="H330" s="120"/>
      <c r="I330" s="120"/>
    </row>
    <row r="331" spans="1:9" s="104" customFormat="1" x14ac:dyDescent="0.3">
      <c r="A331" s="139">
        <v>45857</v>
      </c>
      <c r="B331" s="125" t="s">
        <v>732</v>
      </c>
      <c r="C331" s="121">
        <v>0.29166666666666669</v>
      </c>
      <c r="D331" s="121">
        <v>0.2986111111111111</v>
      </c>
      <c r="E331" s="103">
        <f t="shared" ref="E331:E362" si="15">(D331-C331)*1440</f>
        <v>9.9999999999999645</v>
      </c>
      <c r="F331" s="122" t="s">
        <v>658</v>
      </c>
      <c r="G331" s="122" t="s">
        <v>871</v>
      </c>
      <c r="H331" s="145" t="s">
        <v>660</v>
      </c>
      <c r="I331" s="122"/>
    </row>
    <row r="332" spans="1:9" s="104" customFormat="1" x14ac:dyDescent="0.3">
      <c r="A332" s="139">
        <v>45857</v>
      </c>
      <c r="B332" s="125" t="s">
        <v>732</v>
      </c>
      <c r="C332" s="121">
        <v>0.2986111111111111</v>
      </c>
      <c r="D332" s="121">
        <v>0.3125</v>
      </c>
      <c r="E332" s="103">
        <f t="shared" si="15"/>
        <v>20.000000000000007</v>
      </c>
      <c r="F332" s="122" t="s">
        <v>658</v>
      </c>
      <c r="G332" s="125" t="s">
        <v>810</v>
      </c>
      <c r="H332" s="125" t="s">
        <v>662</v>
      </c>
      <c r="I332" s="122"/>
    </row>
    <row r="333" spans="1:9" s="104" customFormat="1" x14ac:dyDescent="0.3">
      <c r="A333" s="139">
        <v>45857</v>
      </c>
      <c r="B333" s="125" t="s">
        <v>732</v>
      </c>
      <c r="C333" s="121">
        <v>0.3125</v>
      </c>
      <c r="D333" s="121">
        <v>0.31597222222222221</v>
      </c>
      <c r="E333" s="103">
        <f t="shared" si="15"/>
        <v>4.9999999999999822</v>
      </c>
      <c r="F333" s="122" t="s">
        <v>658</v>
      </c>
      <c r="G333" s="125" t="s">
        <v>729</v>
      </c>
      <c r="H333" s="125" t="s">
        <v>662</v>
      </c>
      <c r="I333" s="122"/>
    </row>
    <row r="334" spans="1:9" s="104" customFormat="1" x14ac:dyDescent="0.3">
      <c r="A334" s="139">
        <v>45857</v>
      </c>
      <c r="B334" s="125" t="s">
        <v>732</v>
      </c>
      <c r="C334" s="121">
        <v>0.31597222222222221</v>
      </c>
      <c r="D334" s="121">
        <v>0.31944444444444442</v>
      </c>
      <c r="E334" s="103">
        <f t="shared" si="15"/>
        <v>4.9999999999999822</v>
      </c>
      <c r="F334" s="122" t="s">
        <v>658</v>
      </c>
      <c r="G334" s="122" t="s">
        <v>882</v>
      </c>
      <c r="H334" s="125"/>
      <c r="I334" s="122"/>
    </row>
    <row r="335" spans="1:9" s="104" customFormat="1" x14ac:dyDescent="0.3">
      <c r="A335" s="139">
        <v>45857</v>
      </c>
      <c r="B335" s="125" t="s">
        <v>732</v>
      </c>
      <c r="C335" s="121">
        <v>0.31944444444444442</v>
      </c>
      <c r="D335" s="121">
        <v>0.3298611111111111</v>
      </c>
      <c r="E335" s="103">
        <f t="shared" si="15"/>
        <v>15.000000000000027</v>
      </c>
      <c r="F335" s="122" t="s">
        <v>658</v>
      </c>
      <c r="G335" s="122" t="s">
        <v>883</v>
      </c>
      <c r="H335" s="125" t="s">
        <v>662</v>
      </c>
      <c r="I335" s="122"/>
    </row>
    <row r="336" spans="1:9" s="104" customFormat="1" x14ac:dyDescent="0.3">
      <c r="A336" s="139">
        <v>45857</v>
      </c>
      <c r="B336" s="125" t="s">
        <v>732</v>
      </c>
      <c r="C336" s="121">
        <v>0.3298611111111111</v>
      </c>
      <c r="D336" s="121">
        <v>0.33680555555555558</v>
      </c>
      <c r="E336" s="103">
        <f t="shared" si="15"/>
        <v>10.000000000000044</v>
      </c>
      <c r="F336" s="122" t="s">
        <v>658</v>
      </c>
      <c r="G336" s="157" t="s">
        <v>884</v>
      </c>
      <c r="H336" s="125" t="s">
        <v>662</v>
      </c>
      <c r="I336" s="122"/>
    </row>
    <row r="337" spans="1:9" s="104" customFormat="1" x14ac:dyDescent="0.3">
      <c r="A337" s="139">
        <v>45857</v>
      </c>
      <c r="B337" s="125" t="s">
        <v>732</v>
      </c>
      <c r="C337" s="121">
        <v>0.33680555555555558</v>
      </c>
      <c r="D337" s="121">
        <v>0.37152777777777779</v>
      </c>
      <c r="E337" s="103">
        <f t="shared" si="15"/>
        <v>49.999999999999986</v>
      </c>
      <c r="F337" s="122" t="s">
        <v>658</v>
      </c>
      <c r="G337" s="122" t="s">
        <v>885</v>
      </c>
      <c r="H337" s="125" t="s">
        <v>662</v>
      </c>
      <c r="I337" s="122"/>
    </row>
    <row r="338" spans="1:9" s="104" customFormat="1" x14ac:dyDescent="0.3">
      <c r="A338" s="139">
        <v>45857</v>
      </c>
      <c r="B338" s="125" t="s">
        <v>732</v>
      </c>
      <c r="C338" s="121">
        <v>0.37152777777777779</v>
      </c>
      <c r="D338" s="121">
        <v>0.38541666666666669</v>
      </c>
      <c r="E338" s="103">
        <f t="shared" si="15"/>
        <v>20.000000000000007</v>
      </c>
      <c r="F338" s="122" t="s">
        <v>658</v>
      </c>
      <c r="G338" s="122" t="s">
        <v>886</v>
      </c>
      <c r="H338" s="125" t="s">
        <v>662</v>
      </c>
      <c r="I338" s="122"/>
    </row>
    <row r="339" spans="1:9" s="104" customFormat="1" x14ac:dyDescent="0.3">
      <c r="A339" s="139">
        <v>45857</v>
      </c>
      <c r="B339" s="125" t="s">
        <v>732</v>
      </c>
      <c r="C339" s="121">
        <v>0.38541666666666669</v>
      </c>
      <c r="D339" s="121">
        <v>0.3923611111111111</v>
      </c>
      <c r="E339" s="103">
        <f t="shared" si="15"/>
        <v>9.9999999999999645</v>
      </c>
      <c r="F339" s="122" t="s">
        <v>658</v>
      </c>
      <c r="G339" s="122" t="s">
        <v>887</v>
      </c>
      <c r="H339" s="125"/>
      <c r="I339" s="122"/>
    </row>
    <row r="340" spans="1:9" s="104" customFormat="1" ht="26.4" x14ac:dyDescent="0.3">
      <c r="A340" s="139">
        <v>45857</v>
      </c>
      <c r="B340" s="125" t="s">
        <v>732</v>
      </c>
      <c r="C340" s="121">
        <v>0.3923611111111111</v>
      </c>
      <c r="D340" s="121">
        <v>0.43402777777777779</v>
      </c>
      <c r="E340" s="103">
        <f t="shared" si="15"/>
        <v>60.000000000000028</v>
      </c>
      <c r="F340" s="122" t="s">
        <v>658</v>
      </c>
      <c r="G340" s="125" t="s">
        <v>888</v>
      </c>
      <c r="H340" s="125" t="s">
        <v>859</v>
      </c>
      <c r="I340" s="125"/>
    </row>
    <row r="341" spans="1:9" s="104" customFormat="1" x14ac:dyDescent="0.3">
      <c r="A341" s="139">
        <v>45857</v>
      </c>
      <c r="B341" s="125" t="s">
        <v>732</v>
      </c>
      <c r="C341" s="121">
        <v>0.43402777777777779</v>
      </c>
      <c r="D341" s="121">
        <v>0.4375</v>
      </c>
      <c r="E341" s="103">
        <f t="shared" si="15"/>
        <v>4.9999999999999822</v>
      </c>
      <c r="F341" s="122" t="s">
        <v>658</v>
      </c>
      <c r="G341" s="125" t="s">
        <v>889</v>
      </c>
      <c r="H341" s="125" t="s">
        <v>662</v>
      </c>
      <c r="I341" s="125"/>
    </row>
    <row r="342" spans="1:9" s="104" customFormat="1" x14ac:dyDescent="0.3">
      <c r="A342" s="139">
        <v>45857</v>
      </c>
      <c r="B342" s="125" t="s">
        <v>732</v>
      </c>
      <c r="C342" s="121">
        <v>0.4375</v>
      </c>
      <c r="D342" s="121">
        <v>0.44444444444444442</v>
      </c>
      <c r="E342" s="103">
        <f t="shared" si="15"/>
        <v>9.9999999999999645</v>
      </c>
      <c r="F342" s="122" t="s">
        <v>658</v>
      </c>
      <c r="G342" s="125" t="s">
        <v>579</v>
      </c>
      <c r="H342" s="125" t="s">
        <v>662</v>
      </c>
      <c r="I342" s="125"/>
    </row>
    <row r="343" spans="1:9" s="104" customFormat="1" x14ac:dyDescent="0.3">
      <c r="A343" s="139">
        <v>45857</v>
      </c>
      <c r="B343" s="125" t="s">
        <v>732</v>
      </c>
      <c r="C343" s="121">
        <v>0.44444444444444442</v>
      </c>
      <c r="D343" s="121">
        <v>0.47569444444444442</v>
      </c>
      <c r="E343" s="103">
        <f t="shared" si="15"/>
        <v>45</v>
      </c>
      <c r="F343" s="122" t="s">
        <v>658</v>
      </c>
      <c r="G343" s="125" t="s">
        <v>890</v>
      </c>
      <c r="H343" s="122" t="s">
        <v>579</v>
      </c>
      <c r="I343" s="125"/>
    </row>
    <row r="344" spans="1:9" s="104" customFormat="1" x14ac:dyDescent="0.3">
      <c r="A344" s="139">
        <v>45857</v>
      </c>
      <c r="B344" s="125" t="s">
        <v>732</v>
      </c>
      <c r="C344" s="121">
        <v>0.47569444444444442</v>
      </c>
      <c r="D344" s="121">
        <v>0.5</v>
      </c>
      <c r="E344" s="103">
        <f t="shared" si="15"/>
        <v>35.000000000000036</v>
      </c>
      <c r="F344" s="122" t="s">
        <v>658</v>
      </c>
      <c r="G344" s="125" t="s">
        <v>891</v>
      </c>
      <c r="H344" s="122" t="s">
        <v>892</v>
      </c>
      <c r="I344" s="125"/>
    </row>
    <row r="345" spans="1:9" s="104" customFormat="1" x14ac:dyDescent="0.3">
      <c r="A345" s="139">
        <v>45857</v>
      </c>
      <c r="B345" s="125" t="s">
        <v>732</v>
      </c>
      <c r="C345" s="121">
        <v>0.5</v>
      </c>
      <c r="D345" s="121">
        <v>0.54166666666666663</v>
      </c>
      <c r="E345" s="150">
        <f t="shared" si="15"/>
        <v>59.999999999999943</v>
      </c>
      <c r="F345" s="158" t="s">
        <v>658</v>
      </c>
      <c r="G345" s="119" t="s">
        <v>670</v>
      </c>
      <c r="H345" s="119" t="s">
        <v>670</v>
      </c>
      <c r="I345" s="119"/>
    </row>
    <row r="346" spans="1:9" s="104" customFormat="1" x14ac:dyDescent="0.3">
      <c r="A346" s="139">
        <v>45857</v>
      </c>
      <c r="B346" s="125" t="s">
        <v>732</v>
      </c>
      <c r="C346" s="121">
        <v>0.54166666666666663</v>
      </c>
      <c r="D346" s="121">
        <v>0.55555555555555558</v>
      </c>
      <c r="E346" s="150">
        <f t="shared" si="15"/>
        <v>20.000000000000089</v>
      </c>
      <c r="F346" s="158" t="s">
        <v>658</v>
      </c>
      <c r="G346" s="119" t="s">
        <v>840</v>
      </c>
      <c r="H346" s="119" t="s">
        <v>662</v>
      </c>
      <c r="I346" s="119"/>
    </row>
    <row r="347" spans="1:9" s="104" customFormat="1" x14ac:dyDescent="0.3">
      <c r="A347" s="139">
        <v>45857</v>
      </c>
      <c r="B347" s="125" t="s">
        <v>732</v>
      </c>
      <c r="C347" s="121">
        <v>0.55555555555555558</v>
      </c>
      <c r="D347" s="121">
        <v>0.57638888888888884</v>
      </c>
      <c r="E347" s="150">
        <f t="shared" si="15"/>
        <v>29.999999999999893</v>
      </c>
      <c r="F347" s="158" t="s">
        <v>658</v>
      </c>
      <c r="G347" s="119" t="s">
        <v>893</v>
      </c>
      <c r="H347" s="119" t="s">
        <v>662</v>
      </c>
      <c r="I347" s="119"/>
    </row>
    <row r="348" spans="1:9" s="104" customFormat="1" x14ac:dyDescent="0.3">
      <c r="A348" s="139">
        <v>45857</v>
      </c>
      <c r="B348" s="125" t="s">
        <v>732</v>
      </c>
      <c r="C348" s="121">
        <v>0.57638888888888884</v>
      </c>
      <c r="D348" s="149">
        <v>0.61805555555555558</v>
      </c>
      <c r="E348" s="150">
        <f t="shared" si="15"/>
        <v>60.000000000000107</v>
      </c>
      <c r="F348" s="158" t="s">
        <v>658</v>
      </c>
      <c r="G348" s="119" t="s">
        <v>704</v>
      </c>
      <c r="H348" s="119" t="s">
        <v>880</v>
      </c>
      <c r="I348" s="119"/>
    </row>
    <row r="349" spans="1:9" s="104" customFormat="1" x14ac:dyDescent="0.3">
      <c r="A349" s="139">
        <v>45857</v>
      </c>
      <c r="B349" s="125" t="s">
        <v>732</v>
      </c>
      <c r="C349" s="149">
        <v>0.61805555555555558</v>
      </c>
      <c r="D349" s="149">
        <v>0.62152777777777779</v>
      </c>
      <c r="E349" s="150">
        <f t="shared" si="15"/>
        <v>4.9999999999999822</v>
      </c>
      <c r="F349" s="158" t="s">
        <v>658</v>
      </c>
      <c r="G349" s="119" t="s">
        <v>894</v>
      </c>
      <c r="H349" s="119" t="s">
        <v>662</v>
      </c>
      <c r="I349" s="119"/>
    </row>
    <row r="350" spans="1:9" s="104" customFormat="1" x14ac:dyDescent="0.3">
      <c r="A350" s="139">
        <v>45857</v>
      </c>
      <c r="B350" s="125" t="s">
        <v>732</v>
      </c>
      <c r="C350" s="149">
        <v>0.62152777777777779</v>
      </c>
      <c r="D350" s="149">
        <v>0.66319444444444442</v>
      </c>
      <c r="E350" s="150">
        <f t="shared" si="15"/>
        <v>59.999999999999943</v>
      </c>
      <c r="F350" s="158" t="s">
        <v>658</v>
      </c>
      <c r="G350" s="119" t="s">
        <v>705</v>
      </c>
      <c r="H350" s="119" t="s">
        <v>880</v>
      </c>
      <c r="I350" s="119"/>
    </row>
    <row r="351" spans="1:9" s="104" customFormat="1" x14ac:dyDescent="0.3">
      <c r="A351" s="139">
        <v>45857</v>
      </c>
      <c r="B351" s="125" t="s">
        <v>732</v>
      </c>
      <c r="C351" s="149">
        <v>0.66319444444444442</v>
      </c>
      <c r="D351" s="149">
        <v>0.67361111111111116</v>
      </c>
      <c r="E351" s="150">
        <f t="shared" si="15"/>
        <v>15.000000000000107</v>
      </c>
      <c r="F351" s="158" t="s">
        <v>658</v>
      </c>
      <c r="G351" s="119" t="s">
        <v>895</v>
      </c>
      <c r="H351" s="158" t="s">
        <v>895</v>
      </c>
      <c r="I351" s="119"/>
    </row>
    <row r="352" spans="1:9" s="104" customFormat="1" x14ac:dyDescent="0.3">
      <c r="A352" s="139">
        <v>45857</v>
      </c>
      <c r="B352" s="125" t="s">
        <v>732</v>
      </c>
      <c r="C352" s="149">
        <v>0.67361111111111116</v>
      </c>
      <c r="D352" s="149">
        <v>0.68402777777777779</v>
      </c>
      <c r="E352" s="150">
        <f t="shared" si="15"/>
        <v>14.999999999999947</v>
      </c>
      <c r="F352" s="118" t="s">
        <v>658</v>
      </c>
      <c r="G352" s="155" t="s">
        <v>896</v>
      </c>
      <c r="H352" s="119" t="s">
        <v>859</v>
      </c>
      <c r="I352" s="119"/>
    </row>
    <row r="353" spans="1:9" s="104" customFormat="1" x14ac:dyDescent="0.3">
      <c r="A353" s="139">
        <v>45857</v>
      </c>
      <c r="B353" s="125" t="s">
        <v>732</v>
      </c>
      <c r="C353" s="149">
        <v>0.68402777777777779</v>
      </c>
      <c r="D353" s="149">
        <v>0.72569444444444442</v>
      </c>
      <c r="E353" s="151">
        <f t="shared" si="15"/>
        <v>59.999999999999943</v>
      </c>
      <c r="F353" s="152" t="s">
        <v>658</v>
      </c>
      <c r="G353" s="119" t="s">
        <v>706</v>
      </c>
      <c r="H353" s="119" t="s">
        <v>880</v>
      </c>
      <c r="I353" s="119"/>
    </row>
    <row r="354" spans="1:9" s="104" customFormat="1" x14ac:dyDescent="0.3">
      <c r="A354" s="139">
        <v>45857</v>
      </c>
      <c r="B354" s="125" t="s">
        <v>732</v>
      </c>
      <c r="C354" s="149">
        <v>0.72569444444444442</v>
      </c>
      <c r="D354" s="149">
        <v>0.73611111111111116</v>
      </c>
      <c r="E354" s="150">
        <f t="shared" si="15"/>
        <v>15.000000000000107</v>
      </c>
      <c r="F354" s="158" t="s">
        <v>658</v>
      </c>
      <c r="G354" s="119" t="s">
        <v>897</v>
      </c>
      <c r="H354" s="119" t="s">
        <v>662</v>
      </c>
      <c r="I354" s="119"/>
    </row>
    <row r="355" spans="1:9" s="104" customFormat="1" x14ac:dyDescent="0.3">
      <c r="A355" s="139">
        <v>45857</v>
      </c>
      <c r="B355" s="125" t="s">
        <v>732</v>
      </c>
      <c r="C355" s="149">
        <v>0.73611111111111116</v>
      </c>
      <c r="D355" s="149">
        <v>0.75</v>
      </c>
      <c r="E355" s="150">
        <f t="shared" si="15"/>
        <v>19.999999999999929</v>
      </c>
      <c r="F355" s="158" t="s">
        <v>658</v>
      </c>
      <c r="G355" s="119" t="s">
        <v>857</v>
      </c>
      <c r="H355" s="119" t="s">
        <v>664</v>
      </c>
      <c r="I355" s="119"/>
    </row>
    <row r="356" spans="1:9" s="104" customFormat="1" x14ac:dyDescent="0.3">
      <c r="A356" s="139">
        <v>45857</v>
      </c>
      <c r="B356" s="125" t="s">
        <v>732</v>
      </c>
      <c r="C356" s="149">
        <v>0.75</v>
      </c>
      <c r="D356" s="149">
        <v>0.77083333333333337</v>
      </c>
      <c r="E356" s="150">
        <f t="shared" si="15"/>
        <v>30.000000000000053</v>
      </c>
      <c r="F356" s="158" t="s">
        <v>658</v>
      </c>
      <c r="G356" s="119" t="s">
        <v>898</v>
      </c>
      <c r="H356" s="158" t="s">
        <v>895</v>
      </c>
      <c r="I356" s="119"/>
    </row>
    <row r="357" spans="1:9" s="104" customFormat="1" x14ac:dyDescent="0.3">
      <c r="A357" s="139">
        <v>45857</v>
      </c>
      <c r="B357" s="125" t="s">
        <v>732</v>
      </c>
      <c r="C357" s="149">
        <v>0.77083333333333337</v>
      </c>
      <c r="D357" s="149">
        <v>0.78125</v>
      </c>
      <c r="E357" s="150">
        <f t="shared" si="15"/>
        <v>14.999999999999947</v>
      </c>
      <c r="F357" s="118" t="s">
        <v>658</v>
      </c>
      <c r="G357" s="155" t="s">
        <v>899</v>
      </c>
      <c r="H357" s="119" t="s">
        <v>664</v>
      </c>
      <c r="I357" s="119"/>
    </row>
    <row r="358" spans="1:9" s="104" customFormat="1" x14ac:dyDescent="0.3">
      <c r="A358" s="139">
        <v>45857</v>
      </c>
      <c r="B358" s="125" t="s">
        <v>732</v>
      </c>
      <c r="C358" s="149">
        <v>0.78125</v>
      </c>
      <c r="D358" s="149">
        <v>0.79166666666666663</v>
      </c>
      <c r="E358" s="151">
        <f t="shared" si="15"/>
        <v>14.999999999999947</v>
      </c>
      <c r="F358" s="152" t="s">
        <v>658</v>
      </c>
      <c r="G358" s="153" t="s">
        <v>900</v>
      </c>
      <c r="H358" s="119" t="s">
        <v>662</v>
      </c>
      <c r="I358" s="119"/>
    </row>
    <row r="359" spans="1:9" s="104" customFormat="1" x14ac:dyDescent="0.3">
      <c r="A359" s="139">
        <v>45857</v>
      </c>
      <c r="B359" s="125" t="s">
        <v>732</v>
      </c>
      <c r="C359" s="149">
        <v>0.79166666666666663</v>
      </c>
      <c r="D359" s="149">
        <v>0.80208333333333337</v>
      </c>
      <c r="E359" s="151">
        <f t="shared" si="15"/>
        <v>15.000000000000107</v>
      </c>
      <c r="F359" s="152" t="s">
        <v>658</v>
      </c>
      <c r="G359" s="119" t="s">
        <v>901</v>
      </c>
      <c r="H359" s="119" t="s">
        <v>662</v>
      </c>
      <c r="I359" s="119"/>
    </row>
    <row r="360" spans="1:9" s="104" customFormat="1" x14ac:dyDescent="0.3">
      <c r="A360" s="139">
        <v>45857</v>
      </c>
      <c r="B360" s="125" t="s">
        <v>732</v>
      </c>
      <c r="C360" s="149">
        <v>0.80208333333333337</v>
      </c>
      <c r="D360" s="149">
        <v>0.82291666666666663</v>
      </c>
      <c r="E360" s="151">
        <f t="shared" si="15"/>
        <v>29.999999999999893</v>
      </c>
      <c r="F360" s="158" t="s">
        <v>658</v>
      </c>
      <c r="G360" s="119" t="s">
        <v>902</v>
      </c>
      <c r="H360" s="119" t="s">
        <v>662</v>
      </c>
      <c r="I360" s="119"/>
    </row>
    <row r="361" spans="1:9" s="104" customFormat="1" x14ac:dyDescent="0.3">
      <c r="A361" s="139">
        <v>45857</v>
      </c>
      <c r="B361" s="125" t="s">
        <v>732</v>
      </c>
      <c r="C361" s="149">
        <v>0.82291666666666663</v>
      </c>
      <c r="D361" s="149">
        <v>0.82986111111111116</v>
      </c>
      <c r="E361" s="151">
        <f t="shared" si="15"/>
        <v>10.000000000000124</v>
      </c>
      <c r="F361" s="158" t="s">
        <v>658</v>
      </c>
      <c r="G361" s="119" t="s">
        <v>903</v>
      </c>
      <c r="H361" s="119" t="s">
        <v>662</v>
      </c>
      <c r="I361" s="119"/>
    </row>
    <row r="362" spans="1:9" s="104" customFormat="1" x14ac:dyDescent="0.3">
      <c r="A362" s="139">
        <v>45857</v>
      </c>
      <c r="B362" s="125" t="s">
        <v>732</v>
      </c>
      <c r="C362" s="149">
        <v>0.82986111111111116</v>
      </c>
      <c r="D362" s="149">
        <v>0.83333333333333337</v>
      </c>
      <c r="E362" s="151">
        <f t="shared" si="15"/>
        <v>4.9999999999999822</v>
      </c>
      <c r="F362" s="158" t="s">
        <v>658</v>
      </c>
      <c r="G362" s="119" t="s">
        <v>904</v>
      </c>
      <c r="H362" s="158" t="s">
        <v>859</v>
      </c>
      <c r="I362" s="119"/>
    </row>
    <row r="363" spans="1:9" s="104" customFormat="1" x14ac:dyDescent="0.3">
      <c r="A363" s="108"/>
      <c r="B363" s="108"/>
      <c r="C363" s="108"/>
      <c r="D363" s="108"/>
      <c r="E363" s="108"/>
      <c r="F363" s="108"/>
      <c r="G363" s="108"/>
      <c r="H363" s="108"/>
      <c r="I363" s="108"/>
    </row>
    <row r="364" spans="1:9" s="104" customFormat="1" ht="26.4" x14ac:dyDescent="0.3">
      <c r="A364" s="114" t="s">
        <v>1</v>
      </c>
      <c r="B364" s="114" t="s">
        <v>2</v>
      </c>
      <c r="C364" s="115" t="s">
        <v>3</v>
      </c>
      <c r="D364" s="116"/>
      <c r="E364" s="114" t="s">
        <v>4</v>
      </c>
      <c r="F364" s="114" t="s">
        <v>5</v>
      </c>
      <c r="G364" s="114" t="s">
        <v>6</v>
      </c>
      <c r="H364" s="114" t="s">
        <v>7</v>
      </c>
      <c r="I364" s="114" t="s">
        <v>8</v>
      </c>
    </row>
    <row r="365" spans="1:9" s="104" customFormat="1" x14ac:dyDescent="0.3">
      <c r="A365" s="118"/>
      <c r="B365" s="118"/>
      <c r="C365" s="119" t="s">
        <v>9</v>
      </c>
      <c r="D365" s="119" t="s">
        <v>10</v>
      </c>
      <c r="E365" s="118"/>
      <c r="F365" s="120"/>
      <c r="G365" s="120"/>
      <c r="H365" s="120"/>
      <c r="I365" s="120"/>
    </row>
    <row r="366" spans="1:9" s="104" customFormat="1" x14ac:dyDescent="0.3">
      <c r="A366" s="101">
        <v>45860</v>
      </c>
      <c r="B366" s="101" t="s">
        <v>12</v>
      </c>
      <c r="C366" s="121">
        <v>0.91666666666666663</v>
      </c>
      <c r="D366" s="121">
        <v>0.92708333333333337</v>
      </c>
      <c r="E366" s="103">
        <f>(D366-C366)*1440</f>
        <v>15.000000000000107</v>
      </c>
      <c r="F366" s="87" t="s">
        <v>658</v>
      </c>
      <c r="G366" s="122" t="s">
        <v>659</v>
      </c>
      <c r="H366" s="122" t="s">
        <v>660</v>
      </c>
      <c r="I366" s="87"/>
    </row>
    <row r="367" spans="1:9" s="104" customFormat="1" x14ac:dyDescent="0.3">
      <c r="A367" s="101">
        <v>45860</v>
      </c>
      <c r="B367" s="101" t="s">
        <v>12</v>
      </c>
      <c r="C367" s="121">
        <v>0.92708333333333337</v>
      </c>
      <c r="D367" s="121">
        <v>0.9375</v>
      </c>
      <c r="E367" s="103">
        <f>(D367-C367)*1440</f>
        <v>14.999999999999947</v>
      </c>
      <c r="F367" s="87" t="s">
        <v>658</v>
      </c>
      <c r="G367" s="125" t="s">
        <v>905</v>
      </c>
      <c r="H367" s="122" t="s">
        <v>662</v>
      </c>
      <c r="I367" s="87"/>
    </row>
    <row r="368" spans="1:9" s="104" customFormat="1" x14ac:dyDescent="0.3">
      <c r="A368" s="101">
        <v>45860</v>
      </c>
      <c r="B368" s="101" t="s">
        <v>12</v>
      </c>
      <c r="C368" s="121">
        <v>0.9375</v>
      </c>
      <c r="D368" s="121">
        <v>0.95833333333333337</v>
      </c>
      <c r="E368" s="103">
        <f>(D368-C368)*1440</f>
        <v>30.000000000000053</v>
      </c>
      <c r="F368" s="87" t="s">
        <v>658</v>
      </c>
      <c r="G368" s="125" t="s">
        <v>687</v>
      </c>
      <c r="H368" s="122" t="s">
        <v>662</v>
      </c>
      <c r="I368" s="87"/>
    </row>
    <row r="369" spans="1:9" s="104" customFormat="1" x14ac:dyDescent="0.3">
      <c r="A369" s="101">
        <v>45860</v>
      </c>
      <c r="B369" s="101" t="s">
        <v>12</v>
      </c>
      <c r="C369" s="121">
        <v>0.95833333333333337</v>
      </c>
      <c r="D369" s="121">
        <v>0.98958333333333337</v>
      </c>
      <c r="E369" s="103">
        <f t="shared" ref="E369:E382" si="16">(D369-C369)*1440</f>
        <v>45</v>
      </c>
      <c r="F369" s="87" t="s">
        <v>658</v>
      </c>
      <c r="G369" s="122" t="s">
        <v>906</v>
      </c>
      <c r="H369" s="122" t="s">
        <v>673</v>
      </c>
      <c r="I369" s="87"/>
    </row>
    <row r="370" spans="1:9" s="104" customFormat="1" x14ac:dyDescent="0.3">
      <c r="A370" s="101">
        <v>45860</v>
      </c>
      <c r="B370" s="101" t="s">
        <v>12</v>
      </c>
      <c r="C370" s="121">
        <v>0.98958333333333337</v>
      </c>
      <c r="D370" s="102">
        <v>1</v>
      </c>
      <c r="E370" s="103">
        <f t="shared" si="16"/>
        <v>14.999999999999947</v>
      </c>
      <c r="F370" s="87" t="s">
        <v>658</v>
      </c>
      <c r="G370" s="122" t="s">
        <v>907</v>
      </c>
      <c r="H370" s="122" t="s">
        <v>662</v>
      </c>
      <c r="I370" s="87"/>
    </row>
    <row r="371" spans="1:9" s="104" customFormat="1" x14ac:dyDescent="0.3">
      <c r="A371" s="101">
        <v>45860</v>
      </c>
      <c r="B371" s="101" t="s">
        <v>12</v>
      </c>
      <c r="C371" s="121">
        <v>0</v>
      </c>
      <c r="D371" s="121">
        <v>4.1666666666666664E-2</v>
      </c>
      <c r="E371" s="103">
        <f t="shared" si="16"/>
        <v>60</v>
      </c>
      <c r="F371" s="87" t="s">
        <v>658</v>
      </c>
      <c r="G371" s="159" t="s">
        <v>669</v>
      </c>
      <c r="H371" s="125" t="s">
        <v>670</v>
      </c>
      <c r="I371" s="87"/>
    </row>
    <row r="372" spans="1:9" s="104" customFormat="1" x14ac:dyDescent="0.3">
      <c r="A372" s="101">
        <v>45860</v>
      </c>
      <c r="B372" s="101" t="s">
        <v>12</v>
      </c>
      <c r="C372" s="121">
        <v>4.1666666666666664E-2</v>
      </c>
      <c r="D372" s="121">
        <v>5.2083333333333336E-2</v>
      </c>
      <c r="E372" s="103">
        <f t="shared" si="16"/>
        <v>15.000000000000007</v>
      </c>
      <c r="F372" s="87" t="s">
        <v>658</v>
      </c>
      <c r="G372" s="157" t="s">
        <v>689</v>
      </c>
      <c r="H372" s="125" t="s">
        <v>662</v>
      </c>
      <c r="I372" s="87"/>
    </row>
    <row r="373" spans="1:9" s="104" customFormat="1" x14ac:dyDescent="0.3">
      <c r="A373" s="101">
        <v>45860</v>
      </c>
      <c r="B373" s="101" t="s">
        <v>12</v>
      </c>
      <c r="C373" s="121">
        <v>5.2083333333333336E-2</v>
      </c>
      <c r="D373" s="121">
        <v>0.11458333333333333</v>
      </c>
      <c r="E373" s="103">
        <f t="shared" si="16"/>
        <v>89.999999999999986</v>
      </c>
      <c r="F373" s="87" t="s">
        <v>658</v>
      </c>
      <c r="G373" s="122" t="s">
        <v>908</v>
      </c>
      <c r="H373" s="125" t="s">
        <v>909</v>
      </c>
      <c r="I373" s="88"/>
    </row>
    <row r="374" spans="1:9" s="104" customFormat="1" x14ac:dyDescent="0.3">
      <c r="A374" s="101">
        <v>45860</v>
      </c>
      <c r="B374" s="101" t="s">
        <v>12</v>
      </c>
      <c r="C374" s="121">
        <v>0.11458333333333333</v>
      </c>
      <c r="D374" s="121">
        <v>0.15972222222222221</v>
      </c>
      <c r="E374" s="103">
        <f t="shared" si="16"/>
        <v>64.999999999999986</v>
      </c>
      <c r="F374" s="87" t="s">
        <v>658</v>
      </c>
      <c r="G374" s="125" t="s">
        <v>910</v>
      </c>
      <c r="H374" s="125" t="s">
        <v>673</v>
      </c>
      <c r="I374" s="88"/>
    </row>
    <row r="375" spans="1:9" s="104" customFormat="1" x14ac:dyDescent="0.3">
      <c r="A375" s="101">
        <v>45860</v>
      </c>
      <c r="B375" s="101" t="s">
        <v>12</v>
      </c>
      <c r="C375" s="121">
        <v>0.15972222222222221</v>
      </c>
      <c r="D375" s="121">
        <v>0.2013888888888889</v>
      </c>
      <c r="E375" s="103">
        <f t="shared" si="16"/>
        <v>60.000000000000028</v>
      </c>
      <c r="F375" s="87" t="s">
        <v>658</v>
      </c>
      <c r="G375" s="125" t="s">
        <v>705</v>
      </c>
      <c r="H375" s="125" t="s">
        <v>673</v>
      </c>
      <c r="I375" s="88"/>
    </row>
    <row r="376" spans="1:9" s="104" customFormat="1" x14ac:dyDescent="0.3">
      <c r="A376" s="101">
        <v>45860</v>
      </c>
      <c r="B376" s="101" t="s">
        <v>12</v>
      </c>
      <c r="C376" s="121">
        <v>0.2013888888888889</v>
      </c>
      <c r="D376" s="121">
        <v>0.21180555555555555</v>
      </c>
      <c r="E376" s="103">
        <f t="shared" si="16"/>
        <v>14.999999999999986</v>
      </c>
      <c r="F376" s="87" t="s">
        <v>658</v>
      </c>
      <c r="G376" s="125" t="s">
        <v>911</v>
      </c>
      <c r="H376" s="125" t="s">
        <v>579</v>
      </c>
      <c r="I376" s="88"/>
    </row>
    <row r="377" spans="1:9" s="104" customFormat="1" x14ac:dyDescent="0.3">
      <c r="A377" s="101">
        <v>45860</v>
      </c>
      <c r="B377" s="101" t="s">
        <v>12</v>
      </c>
      <c r="C377" s="121">
        <v>0.21180555555555555</v>
      </c>
      <c r="D377" s="121">
        <v>0.24652777777777779</v>
      </c>
      <c r="E377" s="103">
        <f t="shared" si="16"/>
        <v>50.000000000000021</v>
      </c>
      <c r="F377" s="87" t="s">
        <v>658</v>
      </c>
      <c r="G377" s="125" t="s">
        <v>912</v>
      </c>
      <c r="H377" s="125" t="s">
        <v>664</v>
      </c>
      <c r="I377" s="88"/>
    </row>
    <row r="378" spans="1:9" s="104" customFormat="1" x14ac:dyDescent="0.3">
      <c r="A378" s="101">
        <v>45860</v>
      </c>
      <c r="B378" s="101" t="s">
        <v>12</v>
      </c>
      <c r="C378" s="121">
        <v>0.24652777777777779</v>
      </c>
      <c r="D378" s="121">
        <v>0.25347222222222221</v>
      </c>
      <c r="E378" s="103">
        <f t="shared" si="16"/>
        <v>9.9999999999999645</v>
      </c>
      <c r="F378" s="87" t="s">
        <v>658</v>
      </c>
      <c r="G378" s="125" t="s">
        <v>913</v>
      </c>
      <c r="H378" s="125" t="s">
        <v>662</v>
      </c>
      <c r="I378" s="88"/>
    </row>
    <row r="379" spans="1:9" s="104" customFormat="1" x14ac:dyDescent="0.3">
      <c r="A379" s="101">
        <v>45860</v>
      </c>
      <c r="B379" s="101" t="s">
        <v>12</v>
      </c>
      <c r="C379" s="121">
        <v>0.25347222222222221</v>
      </c>
      <c r="D379" s="121">
        <v>0.26041666666666669</v>
      </c>
      <c r="E379" s="103">
        <f t="shared" si="16"/>
        <v>10.000000000000044</v>
      </c>
      <c r="F379" s="87" t="s">
        <v>658</v>
      </c>
      <c r="G379" s="125" t="s">
        <v>914</v>
      </c>
      <c r="H379" s="125" t="s">
        <v>662</v>
      </c>
      <c r="I379" s="88"/>
    </row>
    <row r="380" spans="1:9" s="104" customFormat="1" x14ac:dyDescent="0.3">
      <c r="A380" s="101">
        <v>45860</v>
      </c>
      <c r="B380" s="101" t="s">
        <v>12</v>
      </c>
      <c r="C380" s="121">
        <v>0.26041666666666669</v>
      </c>
      <c r="D380" s="121">
        <v>0.28125</v>
      </c>
      <c r="E380" s="103">
        <f t="shared" si="16"/>
        <v>29.999999999999972</v>
      </c>
      <c r="F380" s="87" t="s">
        <v>658</v>
      </c>
      <c r="G380" s="125" t="s">
        <v>915</v>
      </c>
      <c r="H380" s="125" t="s">
        <v>673</v>
      </c>
      <c r="I380" s="88"/>
    </row>
    <row r="381" spans="1:9" s="104" customFormat="1" x14ac:dyDescent="0.3">
      <c r="A381" s="101">
        <v>45860</v>
      </c>
      <c r="B381" s="101" t="s">
        <v>12</v>
      </c>
      <c r="C381" s="121">
        <v>0.28125</v>
      </c>
      <c r="D381" s="131">
        <v>0.28819444444444442</v>
      </c>
      <c r="E381" s="103">
        <f t="shared" si="16"/>
        <v>9.9999999999999645</v>
      </c>
      <c r="F381" s="87" t="s">
        <v>658</v>
      </c>
      <c r="G381" s="125" t="s">
        <v>916</v>
      </c>
      <c r="H381" s="125" t="s">
        <v>662</v>
      </c>
      <c r="I381" s="105"/>
    </row>
    <row r="382" spans="1:9" s="104" customFormat="1" x14ac:dyDescent="0.3">
      <c r="A382" s="101">
        <v>45860</v>
      </c>
      <c r="B382" s="101" t="s">
        <v>12</v>
      </c>
      <c r="C382" s="131">
        <v>0.28819444444444442</v>
      </c>
      <c r="D382" s="131">
        <v>0.29166666666666669</v>
      </c>
      <c r="E382" s="103">
        <f t="shared" si="16"/>
        <v>5.0000000000000622</v>
      </c>
      <c r="F382" s="87" t="s">
        <v>658</v>
      </c>
      <c r="G382" s="125" t="s">
        <v>917</v>
      </c>
      <c r="H382" s="125" t="s">
        <v>662</v>
      </c>
      <c r="I382" s="105"/>
    </row>
    <row r="383" spans="1:9" s="104" customFormat="1" x14ac:dyDescent="0.3">
      <c r="A383" s="108"/>
      <c r="B383" s="108"/>
      <c r="C383" s="108"/>
      <c r="D383" s="108"/>
      <c r="E383" s="108"/>
      <c r="F383" s="108"/>
      <c r="G383" s="108"/>
      <c r="H383" s="108"/>
      <c r="I383" s="108"/>
    </row>
    <row r="384" spans="1:9" s="104" customFormat="1" ht="26.4" x14ac:dyDescent="0.3">
      <c r="A384" s="114" t="s">
        <v>1</v>
      </c>
      <c r="B384" s="114" t="s">
        <v>2</v>
      </c>
      <c r="C384" s="115" t="s">
        <v>3</v>
      </c>
      <c r="D384" s="116"/>
      <c r="E384" s="114" t="s">
        <v>4</v>
      </c>
      <c r="F384" s="114" t="s">
        <v>5</v>
      </c>
      <c r="G384" s="114" t="s">
        <v>6</v>
      </c>
      <c r="H384" s="114" t="s">
        <v>7</v>
      </c>
      <c r="I384" s="114" t="s">
        <v>8</v>
      </c>
    </row>
    <row r="385" spans="1:9" s="104" customFormat="1" x14ac:dyDescent="0.3">
      <c r="A385" s="118"/>
      <c r="B385" s="118"/>
      <c r="C385" s="119" t="s">
        <v>9</v>
      </c>
      <c r="D385" s="119" t="s">
        <v>10</v>
      </c>
      <c r="E385" s="118"/>
      <c r="F385" s="120"/>
      <c r="G385" s="120"/>
      <c r="H385" s="120"/>
      <c r="I385" s="120"/>
    </row>
    <row r="386" spans="1:9" s="104" customFormat="1" x14ac:dyDescent="0.3">
      <c r="A386" s="101">
        <v>45861</v>
      </c>
      <c r="B386" s="101" t="s">
        <v>831</v>
      </c>
      <c r="C386" s="121">
        <v>0.91666666666666663</v>
      </c>
      <c r="D386" s="121">
        <v>0.92708333333333337</v>
      </c>
      <c r="E386" s="103">
        <f>(D386-C386)*1440</f>
        <v>15.000000000000107</v>
      </c>
      <c r="F386" s="87" t="s">
        <v>658</v>
      </c>
      <c r="G386" s="122" t="s">
        <v>659</v>
      </c>
      <c r="H386" s="122" t="s">
        <v>660</v>
      </c>
      <c r="I386" s="87"/>
    </row>
    <row r="387" spans="1:9" s="104" customFormat="1" x14ac:dyDescent="0.3">
      <c r="A387" s="101">
        <v>45861</v>
      </c>
      <c r="B387" s="101" t="s">
        <v>831</v>
      </c>
      <c r="C387" s="121">
        <v>0.92708333333333337</v>
      </c>
      <c r="D387" s="121">
        <v>0.9375</v>
      </c>
      <c r="E387" s="103">
        <f>(D387-C387)*1440</f>
        <v>14.999999999999947</v>
      </c>
      <c r="F387" s="87" t="s">
        <v>658</v>
      </c>
      <c r="G387" s="125" t="s">
        <v>905</v>
      </c>
      <c r="H387" s="122" t="s">
        <v>662</v>
      </c>
      <c r="I387" s="87"/>
    </row>
    <row r="388" spans="1:9" s="104" customFormat="1" x14ac:dyDescent="0.3">
      <c r="A388" s="101">
        <v>45861</v>
      </c>
      <c r="B388" s="101" t="s">
        <v>831</v>
      </c>
      <c r="C388" s="121">
        <v>0.9375</v>
      </c>
      <c r="D388" s="121">
        <v>0.94097222222222221</v>
      </c>
      <c r="E388" s="103">
        <f>(D388-C388)*1440</f>
        <v>4.9999999999999822</v>
      </c>
      <c r="F388" s="87" t="s">
        <v>658</v>
      </c>
      <c r="G388" s="125" t="s">
        <v>918</v>
      </c>
      <c r="H388" s="122" t="s">
        <v>662</v>
      </c>
      <c r="I388" s="87"/>
    </row>
    <row r="389" spans="1:9" s="104" customFormat="1" x14ac:dyDescent="0.3">
      <c r="A389" s="101">
        <v>45861</v>
      </c>
      <c r="B389" s="101" t="s">
        <v>831</v>
      </c>
      <c r="C389" s="121">
        <v>0.94097222222222221</v>
      </c>
      <c r="D389" s="121">
        <v>0.96180555555555558</v>
      </c>
      <c r="E389" s="103">
        <f>(D389-C389)*1440</f>
        <v>30.000000000000053</v>
      </c>
      <c r="F389" s="87" t="s">
        <v>658</v>
      </c>
      <c r="G389" s="125" t="s">
        <v>919</v>
      </c>
      <c r="H389" s="122" t="s">
        <v>662</v>
      </c>
      <c r="I389" s="87"/>
    </row>
    <row r="390" spans="1:9" s="104" customFormat="1" x14ac:dyDescent="0.3">
      <c r="A390" s="101">
        <v>45861</v>
      </c>
      <c r="B390" s="101" t="s">
        <v>831</v>
      </c>
      <c r="C390" s="121">
        <v>0.96180555555555558</v>
      </c>
      <c r="D390" s="121">
        <v>0.98263888888888884</v>
      </c>
      <c r="E390" s="103">
        <f t="shared" ref="E390:E403" si="17">(D390-C390)*1440</f>
        <v>29.999999999999893</v>
      </c>
      <c r="F390" s="87" t="s">
        <v>658</v>
      </c>
      <c r="G390" s="122" t="s">
        <v>920</v>
      </c>
      <c r="H390" s="122" t="s">
        <v>673</v>
      </c>
      <c r="I390" s="87"/>
    </row>
    <row r="391" spans="1:9" s="104" customFormat="1" x14ac:dyDescent="0.3">
      <c r="A391" s="101">
        <v>45861</v>
      </c>
      <c r="B391" s="101" t="s">
        <v>831</v>
      </c>
      <c r="C391" s="121">
        <v>0.98263888888888884</v>
      </c>
      <c r="D391" s="102">
        <v>1</v>
      </c>
      <c r="E391" s="103">
        <f t="shared" si="17"/>
        <v>25.000000000000071</v>
      </c>
      <c r="F391" s="87" t="s">
        <v>658</v>
      </c>
      <c r="G391" s="122" t="s">
        <v>907</v>
      </c>
      <c r="H391" s="122" t="s">
        <v>662</v>
      </c>
      <c r="I391" s="87"/>
    </row>
    <row r="392" spans="1:9" s="104" customFormat="1" x14ac:dyDescent="0.3">
      <c r="A392" s="101">
        <v>45861</v>
      </c>
      <c r="B392" s="101" t="s">
        <v>831</v>
      </c>
      <c r="C392" s="121">
        <v>0</v>
      </c>
      <c r="D392" s="121">
        <v>4.1666666666666664E-2</v>
      </c>
      <c r="E392" s="103">
        <f t="shared" si="17"/>
        <v>60</v>
      </c>
      <c r="F392" s="87" t="s">
        <v>658</v>
      </c>
      <c r="G392" s="159" t="s">
        <v>669</v>
      </c>
      <c r="H392" s="125" t="s">
        <v>670</v>
      </c>
      <c r="I392" s="87"/>
    </row>
    <row r="393" spans="1:9" s="104" customFormat="1" x14ac:dyDescent="0.3">
      <c r="A393" s="101">
        <v>45861</v>
      </c>
      <c r="B393" s="101" t="s">
        <v>831</v>
      </c>
      <c r="C393" s="121">
        <v>4.1666666666666664E-2</v>
      </c>
      <c r="D393" s="121">
        <v>5.2083333333333336E-2</v>
      </c>
      <c r="E393" s="103">
        <f t="shared" si="17"/>
        <v>15.000000000000007</v>
      </c>
      <c r="F393" s="87" t="s">
        <v>658</v>
      </c>
      <c r="G393" s="157" t="s">
        <v>689</v>
      </c>
      <c r="H393" s="125" t="s">
        <v>662</v>
      </c>
      <c r="I393" s="87"/>
    </row>
    <row r="394" spans="1:9" s="104" customFormat="1" x14ac:dyDescent="0.3">
      <c r="A394" s="101">
        <v>45861</v>
      </c>
      <c r="B394" s="101" t="s">
        <v>831</v>
      </c>
      <c r="C394" s="121">
        <v>5.2083333333333336E-2</v>
      </c>
      <c r="D394" s="121">
        <v>7.2916666666666671E-2</v>
      </c>
      <c r="E394" s="103">
        <f t="shared" si="17"/>
        <v>30.000000000000004</v>
      </c>
      <c r="F394" s="87" t="s">
        <v>658</v>
      </c>
      <c r="G394" s="157" t="s">
        <v>687</v>
      </c>
      <c r="H394" s="125"/>
      <c r="I394" s="87"/>
    </row>
    <row r="395" spans="1:9" s="104" customFormat="1" x14ac:dyDescent="0.3">
      <c r="A395" s="101">
        <v>45861</v>
      </c>
      <c r="B395" s="101" t="s">
        <v>831</v>
      </c>
      <c r="C395" s="121">
        <v>7.2916666666666671E-2</v>
      </c>
      <c r="D395" s="121">
        <v>0.11458333333333333</v>
      </c>
      <c r="E395" s="103">
        <f t="shared" si="17"/>
        <v>59.999999999999986</v>
      </c>
      <c r="F395" s="87" t="s">
        <v>658</v>
      </c>
      <c r="G395" s="122" t="s">
        <v>921</v>
      </c>
      <c r="H395" s="125" t="s">
        <v>909</v>
      </c>
      <c r="I395" s="88"/>
    </row>
    <row r="396" spans="1:9" s="104" customFormat="1" x14ac:dyDescent="0.3">
      <c r="A396" s="101">
        <v>45861</v>
      </c>
      <c r="B396" s="101" t="s">
        <v>831</v>
      </c>
      <c r="C396" s="121">
        <v>0.11458333333333333</v>
      </c>
      <c r="D396" s="121">
        <v>0.15625</v>
      </c>
      <c r="E396" s="103">
        <f t="shared" si="17"/>
        <v>60.000000000000007</v>
      </c>
      <c r="F396" s="87" t="s">
        <v>658</v>
      </c>
      <c r="G396" s="122" t="s">
        <v>922</v>
      </c>
      <c r="H396" s="125" t="s">
        <v>673</v>
      </c>
      <c r="I396" s="88"/>
    </row>
    <row r="397" spans="1:9" s="104" customFormat="1" x14ac:dyDescent="0.3">
      <c r="A397" s="101">
        <v>45861</v>
      </c>
      <c r="B397" s="101" t="s">
        <v>831</v>
      </c>
      <c r="C397" s="121">
        <v>0.15625</v>
      </c>
      <c r="D397" s="121">
        <v>0.1875</v>
      </c>
      <c r="E397" s="103">
        <f t="shared" si="17"/>
        <v>45</v>
      </c>
      <c r="F397" s="87" t="s">
        <v>658</v>
      </c>
      <c r="G397" s="125" t="s">
        <v>923</v>
      </c>
      <c r="H397" s="125" t="s">
        <v>673</v>
      </c>
      <c r="I397" s="88"/>
    </row>
    <row r="398" spans="1:9" s="104" customFormat="1" x14ac:dyDescent="0.3">
      <c r="A398" s="101">
        <v>45861</v>
      </c>
      <c r="B398" s="101" t="s">
        <v>831</v>
      </c>
      <c r="C398" s="121">
        <v>0.1875</v>
      </c>
      <c r="D398" s="121">
        <v>0.20833333333333334</v>
      </c>
      <c r="E398" s="103">
        <f t="shared" si="17"/>
        <v>30.000000000000014</v>
      </c>
      <c r="F398" s="87" t="s">
        <v>658</v>
      </c>
      <c r="G398" s="125" t="s">
        <v>924</v>
      </c>
      <c r="H398" s="125" t="s">
        <v>579</v>
      </c>
      <c r="I398" s="88"/>
    </row>
    <row r="399" spans="1:9" s="104" customFormat="1" x14ac:dyDescent="0.3">
      <c r="A399" s="101">
        <v>45861</v>
      </c>
      <c r="B399" s="101" t="s">
        <v>831</v>
      </c>
      <c r="C399" s="121">
        <v>0.19791666666666666</v>
      </c>
      <c r="D399" s="121">
        <v>0.20833333333333334</v>
      </c>
      <c r="E399" s="103">
        <f t="shared" si="17"/>
        <v>15.000000000000027</v>
      </c>
      <c r="F399" s="87" t="s">
        <v>658</v>
      </c>
      <c r="G399" s="125" t="s">
        <v>925</v>
      </c>
      <c r="H399" s="125" t="s">
        <v>664</v>
      </c>
      <c r="I399" s="88"/>
    </row>
    <row r="400" spans="1:9" s="104" customFormat="1" x14ac:dyDescent="0.3">
      <c r="A400" s="101">
        <v>45861</v>
      </c>
      <c r="B400" s="101" t="s">
        <v>831</v>
      </c>
      <c r="C400" s="121">
        <v>0.20833333333333334</v>
      </c>
      <c r="D400" s="121">
        <v>0.22916666666666666</v>
      </c>
      <c r="E400" s="103">
        <f t="shared" si="17"/>
        <v>29.999999999999972</v>
      </c>
      <c r="F400" s="87" t="s">
        <v>658</v>
      </c>
      <c r="G400" s="125" t="s">
        <v>924</v>
      </c>
      <c r="H400" s="125" t="s">
        <v>662</v>
      </c>
      <c r="I400" s="88"/>
    </row>
    <row r="401" spans="1:9" s="104" customFormat="1" x14ac:dyDescent="0.3">
      <c r="A401" s="101">
        <v>45861</v>
      </c>
      <c r="B401" s="101" t="s">
        <v>831</v>
      </c>
      <c r="C401" s="121">
        <v>0.22916666666666666</v>
      </c>
      <c r="D401" s="121">
        <v>0.26041666666666669</v>
      </c>
      <c r="E401" s="103">
        <f t="shared" si="17"/>
        <v>45.000000000000043</v>
      </c>
      <c r="F401" s="87" t="s">
        <v>658</v>
      </c>
      <c r="G401" s="125" t="s">
        <v>926</v>
      </c>
      <c r="H401" s="125" t="s">
        <v>662</v>
      </c>
      <c r="I401" s="88"/>
    </row>
    <row r="402" spans="1:9" s="104" customFormat="1" x14ac:dyDescent="0.3">
      <c r="A402" s="101">
        <v>45861</v>
      </c>
      <c r="B402" s="101" t="s">
        <v>831</v>
      </c>
      <c r="C402" s="121">
        <v>0.26041666666666669</v>
      </c>
      <c r="D402" s="121">
        <v>0.28125</v>
      </c>
      <c r="E402" s="103">
        <f t="shared" si="17"/>
        <v>29.999999999999972</v>
      </c>
      <c r="F402" s="87" t="s">
        <v>658</v>
      </c>
      <c r="G402" s="125" t="s">
        <v>912</v>
      </c>
      <c r="H402" s="125" t="s">
        <v>673</v>
      </c>
      <c r="I402" s="88"/>
    </row>
    <row r="403" spans="1:9" s="104" customFormat="1" x14ac:dyDescent="0.3">
      <c r="A403" s="101">
        <v>45861</v>
      </c>
      <c r="B403" s="101" t="s">
        <v>831</v>
      </c>
      <c r="C403" s="121">
        <v>0.28125</v>
      </c>
      <c r="D403" s="131">
        <v>0.29166666666666669</v>
      </c>
      <c r="E403" s="103">
        <f t="shared" si="17"/>
        <v>15.000000000000027</v>
      </c>
      <c r="F403" s="87" t="s">
        <v>658</v>
      </c>
      <c r="G403" s="125" t="s">
        <v>927</v>
      </c>
      <c r="H403" s="125" t="s">
        <v>662</v>
      </c>
      <c r="I403" s="105"/>
    </row>
    <row r="404" spans="1:9" s="104" customFormat="1" x14ac:dyDescent="0.3">
      <c r="A404" s="108"/>
      <c r="B404" s="108"/>
      <c r="C404" s="108"/>
      <c r="D404" s="108"/>
      <c r="E404" s="108"/>
      <c r="F404" s="108"/>
      <c r="G404" s="108"/>
      <c r="H404" s="108"/>
      <c r="I404" s="108"/>
    </row>
    <row r="405" spans="1:9" s="104" customFormat="1" ht="26.4" x14ac:dyDescent="0.3">
      <c r="A405" s="114" t="s">
        <v>1</v>
      </c>
      <c r="B405" s="114" t="s">
        <v>2</v>
      </c>
      <c r="C405" s="115" t="s">
        <v>3</v>
      </c>
      <c r="D405" s="116"/>
      <c r="E405" s="114" t="s">
        <v>4</v>
      </c>
      <c r="F405" s="114" t="s">
        <v>5</v>
      </c>
      <c r="G405" s="114" t="s">
        <v>6</v>
      </c>
      <c r="H405" s="114" t="s">
        <v>7</v>
      </c>
      <c r="I405" s="114" t="s">
        <v>8</v>
      </c>
    </row>
    <row r="406" spans="1:9" s="104" customFormat="1" x14ac:dyDescent="0.3">
      <c r="A406" s="118"/>
      <c r="B406" s="118"/>
      <c r="C406" s="119" t="s">
        <v>9</v>
      </c>
      <c r="D406" s="119" t="s">
        <v>10</v>
      </c>
      <c r="E406" s="118"/>
      <c r="F406" s="120"/>
      <c r="G406" s="120"/>
      <c r="H406" s="120"/>
      <c r="I406" s="120"/>
    </row>
    <row r="407" spans="1:9" s="104" customFormat="1" x14ac:dyDescent="0.3">
      <c r="A407" s="101">
        <v>45862</v>
      </c>
      <c r="B407" s="101" t="s">
        <v>846</v>
      </c>
      <c r="C407" s="121">
        <v>0.91666666666666663</v>
      </c>
      <c r="D407" s="121">
        <v>0.92708333333333337</v>
      </c>
      <c r="E407" s="103">
        <f t="shared" ref="E407:E425" si="18">(D407-C407)*1440</f>
        <v>15.000000000000107</v>
      </c>
      <c r="F407" s="87" t="s">
        <v>658</v>
      </c>
      <c r="G407" s="122" t="s">
        <v>659</v>
      </c>
      <c r="H407" s="122" t="s">
        <v>660</v>
      </c>
      <c r="I407" s="87"/>
    </row>
    <row r="408" spans="1:9" s="104" customFormat="1" x14ac:dyDescent="0.3">
      <c r="A408" s="101">
        <v>45862</v>
      </c>
      <c r="B408" s="101" t="s">
        <v>846</v>
      </c>
      <c r="C408" s="121">
        <v>0.92708333333333337</v>
      </c>
      <c r="D408" s="121">
        <v>0.9375</v>
      </c>
      <c r="E408" s="103">
        <f t="shared" si="18"/>
        <v>14.999999999999947</v>
      </c>
      <c r="F408" s="87" t="s">
        <v>658</v>
      </c>
      <c r="G408" s="122" t="s">
        <v>928</v>
      </c>
      <c r="H408" s="122" t="s">
        <v>662</v>
      </c>
      <c r="I408" s="87"/>
    </row>
    <row r="409" spans="1:9" s="104" customFormat="1" x14ac:dyDescent="0.3">
      <c r="A409" s="101">
        <v>45862</v>
      </c>
      <c r="B409" s="101" t="s">
        <v>846</v>
      </c>
      <c r="C409" s="121">
        <v>0.9375</v>
      </c>
      <c r="D409" s="121">
        <v>0.94791666666666663</v>
      </c>
      <c r="E409" s="103">
        <f t="shared" si="18"/>
        <v>14.999999999999947</v>
      </c>
      <c r="F409" s="87" t="s">
        <v>658</v>
      </c>
      <c r="G409" s="125" t="s">
        <v>905</v>
      </c>
      <c r="H409" s="122" t="s">
        <v>662</v>
      </c>
      <c r="I409" s="87"/>
    </row>
    <row r="410" spans="1:9" s="104" customFormat="1" x14ac:dyDescent="0.3">
      <c r="A410" s="101">
        <v>45862</v>
      </c>
      <c r="B410" s="148" t="s">
        <v>846</v>
      </c>
      <c r="C410" s="149">
        <v>0.94791666666666663</v>
      </c>
      <c r="D410" s="149">
        <v>0.96875</v>
      </c>
      <c r="E410" s="150">
        <f t="shared" si="18"/>
        <v>30.000000000000053</v>
      </c>
      <c r="F410" s="112" t="s">
        <v>658</v>
      </c>
      <c r="G410" s="119" t="s">
        <v>687</v>
      </c>
      <c r="H410" s="158" t="s">
        <v>662</v>
      </c>
      <c r="I410" s="112"/>
    </row>
    <row r="411" spans="1:9" s="104" customFormat="1" x14ac:dyDescent="0.3">
      <c r="A411" s="101">
        <v>45862</v>
      </c>
      <c r="B411" s="148" t="s">
        <v>846</v>
      </c>
      <c r="C411" s="149">
        <v>0.96875</v>
      </c>
      <c r="D411" s="149">
        <v>0.98611111111111116</v>
      </c>
      <c r="E411" s="150">
        <f t="shared" si="18"/>
        <v>25.000000000000071</v>
      </c>
      <c r="F411" s="112" t="s">
        <v>658</v>
      </c>
      <c r="G411" s="158" t="s">
        <v>907</v>
      </c>
      <c r="H411" s="158" t="s">
        <v>662</v>
      </c>
      <c r="I411" s="112"/>
    </row>
    <row r="412" spans="1:9" s="104" customFormat="1" x14ac:dyDescent="0.3">
      <c r="A412" s="101">
        <v>45862</v>
      </c>
      <c r="B412" s="148" t="s">
        <v>846</v>
      </c>
      <c r="C412" s="149">
        <v>0.98611111111111116</v>
      </c>
      <c r="D412" s="149">
        <v>0.99305555555555558</v>
      </c>
      <c r="E412" s="150">
        <f t="shared" si="18"/>
        <v>9.9999999999999645</v>
      </c>
      <c r="F412" s="112" t="s">
        <v>658</v>
      </c>
      <c r="G412" s="158" t="s">
        <v>929</v>
      </c>
      <c r="H412" s="158" t="s">
        <v>673</v>
      </c>
      <c r="I412" s="112"/>
    </row>
    <row r="413" spans="1:9" s="104" customFormat="1" x14ac:dyDescent="0.3">
      <c r="A413" s="101">
        <v>45862</v>
      </c>
      <c r="B413" s="148" t="s">
        <v>846</v>
      </c>
      <c r="C413" s="149">
        <v>0.99305555555555558</v>
      </c>
      <c r="D413" s="149">
        <v>1</v>
      </c>
      <c r="E413" s="150">
        <f t="shared" si="18"/>
        <v>9.9999999999999645</v>
      </c>
      <c r="F413" s="112" t="s">
        <v>658</v>
      </c>
      <c r="G413" s="158" t="s">
        <v>930</v>
      </c>
      <c r="H413" s="158" t="s">
        <v>662</v>
      </c>
      <c r="I413" s="112"/>
    </row>
    <row r="414" spans="1:9" s="104" customFormat="1" x14ac:dyDescent="0.3">
      <c r="A414" s="101">
        <v>45862</v>
      </c>
      <c r="B414" s="148" t="s">
        <v>846</v>
      </c>
      <c r="C414" s="149">
        <v>0</v>
      </c>
      <c r="D414" s="149">
        <v>4.1666666666666664E-2</v>
      </c>
      <c r="E414" s="150">
        <f t="shared" si="18"/>
        <v>60</v>
      </c>
      <c r="F414" s="112" t="s">
        <v>658</v>
      </c>
      <c r="G414" s="160" t="s">
        <v>669</v>
      </c>
      <c r="H414" s="119" t="s">
        <v>670</v>
      </c>
      <c r="I414" s="112"/>
    </row>
    <row r="415" spans="1:9" s="104" customFormat="1" x14ac:dyDescent="0.3">
      <c r="A415" s="101">
        <v>45862</v>
      </c>
      <c r="B415" s="148" t="s">
        <v>846</v>
      </c>
      <c r="C415" s="149">
        <v>4.1666666666666664E-2</v>
      </c>
      <c r="D415" s="149">
        <v>5.2083333333333336E-2</v>
      </c>
      <c r="E415" s="150">
        <f t="shared" si="18"/>
        <v>15.000000000000007</v>
      </c>
      <c r="F415" s="112" t="s">
        <v>658</v>
      </c>
      <c r="G415" s="120" t="s">
        <v>689</v>
      </c>
      <c r="H415" s="119" t="s">
        <v>662</v>
      </c>
      <c r="I415" s="112"/>
    </row>
    <row r="416" spans="1:9" s="104" customFormat="1" x14ac:dyDescent="0.3">
      <c r="A416" s="101">
        <v>45862</v>
      </c>
      <c r="B416" s="148" t="s">
        <v>846</v>
      </c>
      <c r="C416" s="149">
        <v>5.2083333333333336E-2</v>
      </c>
      <c r="D416" s="149">
        <v>9.375E-2</v>
      </c>
      <c r="E416" s="150">
        <f t="shared" si="18"/>
        <v>60</v>
      </c>
      <c r="F416" s="112" t="s">
        <v>658</v>
      </c>
      <c r="G416" s="120" t="s">
        <v>931</v>
      </c>
      <c r="H416" s="119" t="s">
        <v>909</v>
      </c>
      <c r="I416" s="112"/>
    </row>
    <row r="417" spans="1:9" s="104" customFormat="1" x14ac:dyDescent="0.3">
      <c r="A417" s="101">
        <v>45862</v>
      </c>
      <c r="B417" s="148" t="s">
        <v>846</v>
      </c>
      <c r="C417" s="149">
        <v>9.375E-2</v>
      </c>
      <c r="D417" s="149">
        <v>0.17708333333333334</v>
      </c>
      <c r="E417" s="150">
        <f t="shared" si="18"/>
        <v>120.00000000000001</v>
      </c>
      <c r="F417" s="112" t="s">
        <v>658</v>
      </c>
      <c r="G417" s="158" t="s">
        <v>932</v>
      </c>
      <c r="H417" s="119" t="s">
        <v>909</v>
      </c>
      <c r="I417" s="161"/>
    </row>
    <row r="418" spans="1:9" s="104" customFormat="1" x14ac:dyDescent="0.3">
      <c r="A418" s="101">
        <v>45862</v>
      </c>
      <c r="B418" s="148" t="s">
        <v>846</v>
      </c>
      <c r="C418" s="149">
        <v>0.17708333333333334</v>
      </c>
      <c r="D418" s="149">
        <v>0.21875</v>
      </c>
      <c r="E418" s="150">
        <f t="shared" si="18"/>
        <v>59.999999999999986</v>
      </c>
      <c r="F418" s="112" t="s">
        <v>658</v>
      </c>
      <c r="G418" s="158" t="s">
        <v>933</v>
      </c>
      <c r="H418" s="119" t="s">
        <v>673</v>
      </c>
      <c r="I418" s="161"/>
    </row>
    <row r="419" spans="1:9" s="104" customFormat="1" x14ac:dyDescent="0.3">
      <c r="A419" s="101">
        <v>45862</v>
      </c>
      <c r="B419" s="148" t="s">
        <v>846</v>
      </c>
      <c r="C419" s="149">
        <v>0.21875</v>
      </c>
      <c r="D419" s="149">
        <v>0.22916666666666666</v>
      </c>
      <c r="E419" s="150">
        <f t="shared" si="18"/>
        <v>14.999999999999986</v>
      </c>
      <c r="F419" s="112" t="s">
        <v>658</v>
      </c>
      <c r="G419" s="119" t="s">
        <v>934</v>
      </c>
      <c r="H419" s="119" t="s">
        <v>579</v>
      </c>
      <c r="I419" s="161"/>
    </row>
    <row r="420" spans="1:9" s="104" customFormat="1" x14ac:dyDescent="0.3">
      <c r="A420" s="101">
        <v>45862</v>
      </c>
      <c r="B420" s="148" t="s">
        <v>846</v>
      </c>
      <c r="C420" s="149">
        <v>0.22916666666666666</v>
      </c>
      <c r="D420" s="149">
        <v>0.23958333333333334</v>
      </c>
      <c r="E420" s="150">
        <f t="shared" si="18"/>
        <v>15.000000000000027</v>
      </c>
      <c r="F420" s="112" t="s">
        <v>658</v>
      </c>
      <c r="G420" s="119" t="s">
        <v>935</v>
      </c>
      <c r="H420" s="119" t="s">
        <v>662</v>
      </c>
      <c r="I420" s="161"/>
    </row>
    <row r="421" spans="1:9" s="104" customFormat="1" x14ac:dyDescent="0.3">
      <c r="A421" s="101">
        <v>45862</v>
      </c>
      <c r="B421" s="148" t="s">
        <v>846</v>
      </c>
      <c r="C421" s="149">
        <v>0.23958333333333334</v>
      </c>
      <c r="D421" s="149">
        <v>0.25</v>
      </c>
      <c r="E421" s="150">
        <f t="shared" si="18"/>
        <v>14.999999999999986</v>
      </c>
      <c r="F421" s="112" t="s">
        <v>658</v>
      </c>
      <c r="G421" s="119" t="s">
        <v>936</v>
      </c>
      <c r="H421" s="119" t="s">
        <v>662</v>
      </c>
      <c r="I421" s="161"/>
    </row>
    <row r="422" spans="1:9" s="104" customFormat="1" x14ac:dyDescent="0.3">
      <c r="A422" s="101">
        <v>45862</v>
      </c>
      <c r="B422" s="148" t="s">
        <v>846</v>
      </c>
      <c r="C422" s="149">
        <v>0.25</v>
      </c>
      <c r="D422" s="149">
        <v>0.26041666666666669</v>
      </c>
      <c r="E422" s="150">
        <f t="shared" si="18"/>
        <v>15.000000000000027</v>
      </c>
      <c r="F422" s="112" t="s">
        <v>658</v>
      </c>
      <c r="G422" s="119" t="s">
        <v>937</v>
      </c>
      <c r="H422" s="119" t="s">
        <v>662</v>
      </c>
      <c r="I422" s="161"/>
    </row>
    <row r="423" spans="1:9" s="104" customFormat="1" x14ac:dyDescent="0.3">
      <c r="A423" s="101">
        <v>45862</v>
      </c>
      <c r="B423" s="148" t="s">
        <v>846</v>
      </c>
      <c r="C423" s="149">
        <v>0.26041666666666669</v>
      </c>
      <c r="D423" s="149">
        <v>0.27083333333333331</v>
      </c>
      <c r="E423" s="150">
        <f t="shared" si="18"/>
        <v>14.999999999999947</v>
      </c>
      <c r="F423" s="112" t="s">
        <v>658</v>
      </c>
      <c r="G423" s="119" t="s">
        <v>938</v>
      </c>
      <c r="H423" s="119" t="s">
        <v>662</v>
      </c>
      <c r="I423" s="161"/>
    </row>
    <row r="424" spans="1:9" s="104" customFormat="1" x14ac:dyDescent="0.3">
      <c r="A424" s="101">
        <v>45862</v>
      </c>
      <c r="B424" s="148" t="s">
        <v>846</v>
      </c>
      <c r="C424" s="149">
        <v>0.27083333333333331</v>
      </c>
      <c r="D424" s="149">
        <v>0.29166666666666669</v>
      </c>
      <c r="E424" s="150">
        <f t="shared" si="18"/>
        <v>30.000000000000053</v>
      </c>
      <c r="F424" s="112" t="s">
        <v>658</v>
      </c>
      <c r="G424" s="119" t="s">
        <v>939</v>
      </c>
      <c r="H424" s="119" t="s">
        <v>662</v>
      </c>
      <c r="I424" s="161"/>
    </row>
    <row r="425" spans="1:9" s="104" customFormat="1" x14ac:dyDescent="0.3">
      <c r="A425" s="101">
        <v>45862</v>
      </c>
      <c r="B425" s="148" t="s">
        <v>846</v>
      </c>
      <c r="C425" s="149">
        <v>0.29166666666666669</v>
      </c>
      <c r="D425" s="162">
        <v>0.30208333333333331</v>
      </c>
      <c r="E425" s="150">
        <f t="shared" si="18"/>
        <v>14.999999999999947</v>
      </c>
      <c r="F425" s="112" t="s">
        <v>658</v>
      </c>
      <c r="G425" s="119" t="s">
        <v>927</v>
      </c>
      <c r="H425" s="119" t="s">
        <v>662</v>
      </c>
      <c r="I425" s="119"/>
    </row>
    <row r="426" spans="1:9" s="104" customFormat="1" x14ac:dyDescent="0.3">
      <c r="A426" s="108"/>
      <c r="B426" s="108"/>
      <c r="C426" s="108"/>
      <c r="D426" s="108"/>
      <c r="E426" s="108"/>
      <c r="F426" s="108"/>
      <c r="G426" s="108"/>
      <c r="H426" s="108"/>
      <c r="I426" s="108"/>
    </row>
    <row r="427" spans="1:9" s="104" customFormat="1" ht="26.4" x14ac:dyDescent="0.3">
      <c r="A427" s="114" t="s">
        <v>1</v>
      </c>
      <c r="B427" s="114" t="s">
        <v>2</v>
      </c>
      <c r="C427" s="115" t="s">
        <v>3</v>
      </c>
      <c r="D427" s="116"/>
      <c r="E427" s="114" t="s">
        <v>4</v>
      </c>
      <c r="F427" s="114" t="s">
        <v>5</v>
      </c>
      <c r="G427" s="114" t="s">
        <v>6</v>
      </c>
      <c r="H427" s="114" t="s">
        <v>7</v>
      </c>
      <c r="I427" s="114" t="s">
        <v>8</v>
      </c>
    </row>
    <row r="428" spans="1:9" s="104" customFormat="1" x14ac:dyDescent="0.3">
      <c r="A428" s="118"/>
      <c r="B428" s="118"/>
      <c r="C428" s="119" t="s">
        <v>9</v>
      </c>
      <c r="D428" s="119" t="s">
        <v>10</v>
      </c>
      <c r="E428" s="118"/>
      <c r="F428" s="120"/>
      <c r="G428" s="120"/>
      <c r="H428" s="120"/>
      <c r="I428" s="120"/>
    </row>
    <row r="429" spans="1:9" s="104" customFormat="1" x14ac:dyDescent="0.3">
      <c r="A429" s="101">
        <v>45863</v>
      </c>
      <c r="B429" s="101" t="s">
        <v>860</v>
      </c>
      <c r="C429" s="121">
        <v>0.91666666666666663</v>
      </c>
      <c r="D429" s="121">
        <v>0.92708333333333337</v>
      </c>
      <c r="E429" s="103">
        <f t="shared" ref="E429:E444" si="19">(D429-C429)*1440</f>
        <v>15.000000000000107</v>
      </c>
      <c r="F429" s="87" t="s">
        <v>658</v>
      </c>
      <c r="G429" s="122" t="s">
        <v>659</v>
      </c>
      <c r="H429" s="122" t="s">
        <v>660</v>
      </c>
      <c r="I429" s="87"/>
    </row>
    <row r="430" spans="1:9" s="104" customFormat="1" x14ac:dyDescent="0.3">
      <c r="A430" s="101">
        <v>45863</v>
      </c>
      <c r="B430" s="101" t="s">
        <v>860</v>
      </c>
      <c r="C430" s="121">
        <v>0.92708333333333337</v>
      </c>
      <c r="D430" s="121">
        <v>0.9375</v>
      </c>
      <c r="E430" s="103">
        <f t="shared" si="19"/>
        <v>14.999999999999947</v>
      </c>
      <c r="F430" s="87" t="s">
        <v>658</v>
      </c>
      <c r="G430" s="125" t="s">
        <v>905</v>
      </c>
      <c r="H430" s="122" t="s">
        <v>662</v>
      </c>
      <c r="I430" s="87"/>
    </row>
    <row r="431" spans="1:9" s="104" customFormat="1" x14ac:dyDescent="0.3">
      <c r="A431" s="101">
        <v>45863</v>
      </c>
      <c r="B431" s="101" t="s">
        <v>860</v>
      </c>
      <c r="C431" s="121">
        <v>0.9375</v>
      </c>
      <c r="D431" s="149">
        <v>0.96875</v>
      </c>
      <c r="E431" s="150">
        <f t="shared" si="19"/>
        <v>45</v>
      </c>
      <c r="F431" s="112" t="s">
        <v>658</v>
      </c>
      <c r="G431" s="119" t="s">
        <v>687</v>
      </c>
      <c r="H431" s="158" t="s">
        <v>662</v>
      </c>
      <c r="I431" s="112"/>
    </row>
    <row r="432" spans="1:9" s="104" customFormat="1" x14ac:dyDescent="0.3">
      <c r="A432" s="101">
        <v>45863</v>
      </c>
      <c r="B432" s="101" t="s">
        <v>860</v>
      </c>
      <c r="C432" s="149">
        <v>0.96875</v>
      </c>
      <c r="D432" s="149">
        <v>0.99305555555555558</v>
      </c>
      <c r="E432" s="150">
        <f t="shared" si="19"/>
        <v>35.000000000000036</v>
      </c>
      <c r="F432" s="112" t="s">
        <v>658</v>
      </c>
      <c r="G432" s="158" t="s">
        <v>940</v>
      </c>
      <c r="H432" s="158" t="s">
        <v>662</v>
      </c>
      <c r="I432" s="112"/>
    </row>
    <row r="433" spans="1:9" s="104" customFormat="1" x14ac:dyDescent="0.3">
      <c r="A433" s="101">
        <v>45863</v>
      </c>
      <c r="B433" s="101" t="s">
        <v>860</v>
      </c>
      <c r="C433" s="149">
        <v>0.99305555555555558</v>
      </c>
      <c r="D433" s="149">
        <v>1</v>
      </c>
      <c r="E433" s="150">
        <f t="shared" si="19"/>
        <v>9.9999999999999645</v>
      </c>
      <c r="F433" s="112" t="s">
        <v>658</v>
      </c>
      <c r="G433" s="158" t="s">
        <v>941</v>
      </c>
      <c r="H433" s="158" t="s">
        <v>673</v>
      </c>
      <c r="I433" s="112"/>
    </row>
    <row r="434" spans="1:9" s="104" customFormat="1" x14ac:dyDescent="0.3">
      <c r="A434" s="101">
        <v>45863</v>
      </c>
      <c r="B434" s="101" t="s">
        <v>860</v>
      </c>
      <c r="C434" s="149">
        <v>0</v>
      </c>
      <c r="D434" s="149">
        <v>4.1666666666666664E-2</v>
      </c>
      <c r="E434" s="150">
        <f t="shared" si="19"/>
        <v>60</v>
      </c>
      <c r="F434" s="112" t="s">
        <v>658</v>
      </c>
      <c r="G434" s="160" t="s">
        <v>669</v>
      </c>
      <c r="H434" s="119" t="s">
        <v>670</v>
      </c>
      <c r="I434" s="112"/>
    </row>
    <row r="435" spans="1:9" s="104" customFormat="1" x14ac:dyDescent="0.3">
      <c r="A435" s="101">
        <v>45863</v>
      </c>
      <c r="B435" s="101" t="s">
        <v>860</v>
      </c>
      <c r="C435" s="149">
        <v>4.1666666666666664E-2</v>
      </c>
      <c r="D435" s="149">
        <v>5.2083333333333336E-2</v>
      </c>
      <c r="E435" s="150">
        <f t="shared" si="19"/>
        <v>15.000000000000007</v>
      </c>
      <c r="F435" s="112" t="s">
        <v>658</v>
      </c>
      <c r="G435" s="120" t="s">
        <v>942</v>
      </c>
      <c r="H435" s="119" t="s">
        <v>662</v>
      </c>
      <c r="I435" s="112"/>
    </row>
    <row r="436" spans="1:9" s="104" customFormat="1" x14ac:dyDescent="0.3">
      <c r="A436" s="101">
        <v>45863</v>
      </c>
      <c r="B436" s="101" t="s">
        <v>860</v>
      </c>
      <c r="C436" s="149">
        <v>5.2083333333333336E-2</v>
      </c>
      <c r="D436" s="149">
        <v>7.2916666666666671E-2</v>
      </c>
      <c r="E436" s="150">
        <f t="shared" si="19"/>
        <v>30.000000000000004</v>
      </c>
      <c r="F436" s="112" t="s">
        <v>658</v>
      </c>
      <c r="G436" s="120" t="s">
        <v>943</v>
      </c>
      <c r="H436" s="119"/>
      <c r="I436" s="112"/>
    </row>
    <row r="437" spans="1:9" s="104" customFormat="1" x14ac:dyDescent="0.3">
      <c r="A437" s="101">
        <v>45863</v>
      </c>
      <c r="B437" s="101" t="s">
        <v>860</v>
      </c>
      <c r="C437" s="149">
        <v>7.2916666666666671E-2</v>
      </c>
      <c r="D437" s="149">
        <v>0.15625</v>
      </c>
      <c r="E437" s="150">
        <f t="shared" si="19"/>
        <v>120</v>
      </c>
      <c r="F437" s="112" t="s">
        <v>658</v>
      </c>
      <c r="G437" s="120" t="s">
        <v>944</v>
      </c>
      <c r="H437" s="119" t="s">
        <v>909</v>
      </c>
      <c r="I437" s="112"/>
    </row>
    <row r="438" spans="1:9" s="104" customFormat="1" x14ac:dyDescent="0.3">
      <c r="A438" s="101">
        <v>45863</v>
      </c>
      <c r="B438" s="101" t="s">
        <v>860</v>
      </c>
      <c r="C438" s="149">
        <v>0.15625</v>
      </c>
      <c r="D438" s="149">
        <v>0.22916666666666666</v>
      </c>
      <c r="E438" s="150">
        <f t="shared" si="19"/>
        <v>104.99999999999999</v>
      </c>
      <c r="F438" s="112" t="s">
        <v>658</v>
      </c>
      <c r="G438" s="158" t="s">
        <v>945</v>
      </c>
      <c r="H438" s="119" t="s">
        <v>664</v>
      </c>
      <c r="I438" s="161"/>
    </row>
    <row r="439" spans="1:9" s="104" customFormat="1" x14ac:dyDescent="0.3">
      <c r="A439" s="101">
        <v>45863</v>
      </c>
      <c r="B439" s="101" t="s">
        <v>860</v>
      </c>
      <c r="C439" s="149">
        <v>0.22916666666666666</v>
      </c>
      <c r="D439" s="149">
        <v>0.23958333333333334</v>
      </c>
      <c r="E439" s="150">
        <f t="shared" si="19"/>
        <v>15.000000000000027</v>
      </c>
      <c r="F439" s="112" t="s">
        <v>658</v>
      </c>
      <c r="G439" s="119" t="s">
        <v>934</v>
      </c>
      <c r="H439" s="119" t="s">
        <v>579</v>
      </c>
      <c r="I439" s="161"/>
    </row>
    <row r="440" spans="1:9" s="104" customFormat="1" x14ac:dyDescent="0.3">
      <c r="A440" s="101">
        <v>45863</v>
      </c>
      <c r="B440" s="101" t="s">
        <v>860</v>
      </c>
      <c r="C440" s="149">
        <v>0.23958333333333334</v>
      </c>
      <c r="D440" s="149">
        <v>0.26041666666666669</v>
      </c>
      <c r="E440" s="150">
        <f t="shared" si="19"/>
        <v>30.000000000000014</v>
      </c>
      <c r="F440" s="112" t="s">
        <v>658</v>
      </c>
      <c r="G440" s="119" t="s">
        <v>946</v>
      </c>
      <c r="H440" s="119" t="s">
        <v>662</v>
      </c>
      <c r="I440" s="161"/>
    </row>
    <row r="441" spans="1:9" s="104" customFormat="1" x14ac:dyDescent="0.3">
      <c r="A441" s="101">
        <v>45863</v>
      </c>
      <c r="B441" s="101" t="s">
        <v>860</v>
      </c>
      <c r="C441" s="149">
        <v>0.26041666666666669</v>
      </c>
      <c r="D441" s="149">
        <v>0.2638888888888889</v>
      </c>
      <c r="E441" s="150">
        <f t="shared" si="19"/>
        <v>4.9999999999999822</v>
      </c>
      <c r="F441" s="112" t="s">
        <v>658</v>
      </c>
      <c r="G441" s="119" t="s">
        <v>947</v>
      </c>
      <c r="H441" s="119" t="s">
        <v>662</v>
      </c>
      <c r="I441" s="161"/>
    </row>
    <row r="442" spans="1:9" s="104" customFormat="1" x14ac:dyDescent="0.3">
      <c r="A442" s="101">
        <v>45863</v>
      </c>
      <c r="B442" s="101" t="s">
        <v>860</v>
      </c>
      <c r="C442" s="149">
        <v>0.2638888888888889</v>
      </c>
      <c r="D442" s="149">
        <v>0.27430555555555558</v>
      </c>
      <c r="E442" s="150">
        <f t="shared" si="19"/>
        <v>15.000000000000027</v>
      </c>
      <c r="F442" s="112" t="s">
        <v>658</v>
      </c>
      <c r="G442" s="119" t="s">
        <v>948</v>
      </c>
      <c r="H442" s="119" t="s">
        <v>662</v>
      </c>
      <c r="I442" s="161"/>
    </row>
    <row r="443" spans="1:9" s="104" customFormat="1" x14ac:dyDescent="0.3">
      <c r="A443" s="101">
        <v>45863</v>
      </c>
      <c r="B443" s="101" t="s">
        <v>860</v>
      </c>
      <c r="C443" s="149">
        <v>0.27430555555555558</v>
      </c>
      <c r="D443" s="149">
        <v>0.28472222222222221</v>
      </c>
      <c r="E443" s="150">
        <f t="shared" si="19"/>
        <v>14.999999999999947</v>
      </c>
      <c r="F443" s="112" t="s">
        <v>658</v>
      </c>
      <c r="G443" s="119" t="s">
        <v>938</v>
      </c>
      <c r="H443" s="119" t="s">
        <v>662</v>
      </c>
      <c r="I443" s="161"/>
    </row>
    <row r="444" spans="1:9" s="104" customFormat="1" x14ac:dyDescent="0.3">
      <c r="A444" s="101">
        <v>45862</v>
      </c>
      <c r="B444" s="101" t="s">
        <v>860</v>
      </c>
      <c r="C444" s="149">
        <v>0.28472222222222221</v>
      </c>
      <c r="D444" s="149">
        <v>0.29166666666666669</v>
      </c>
      <c r="E444" s="150">
        <f t="shared" si="19"/>
        <v>10.000000000000044</v>
      </c>
      <c r="F444" s="112" t="s">
        <v>658</v>
      </c>
      <c r="G444" s="119" t="s">
        <v>927</v>
      </c>
      <c r="H444" s="119" t="s">
        <v>662</v>
      </c>
      <c r="I444" s="161"/>
    </row>
    <row r="445" spans="1:9" s="104" customFormat="1" x14ac:dyDescent="0.3">
      <c r="A445" s="108"/>
      <c r="B445" s="108"/>
      <c r="C445" s="108"/>
      <c r="D445" s="108"/>
      <c r="E445" s="108"/>
      <c r="F445" s="108"/>
      <c r="G445" s="108"/>
      <c r="H445" s="108"/>
      <c r="I445" s="108"/>
    </row>
    <row r="446" spans="1:9" s="104" customFormat="1" ht="26.4" x14ac:dyDescent="0.3">
      <c r="A446" s="114" t="s">
        <v>1</v>
      </c>
      <c r="B446" s="114" t="s">
        <v>2</v>
      </c>
      <c r="C446" s="115" t="s">
        <v>3</v>
      </c>
      <c r="D446" s="116"/>
      <c r="E446" s="114" t="s">
        <v>4</v>
      </c>
      <c r="F446" s="114" t="s">
        <v>5</v>
      </c>
      <c r="G446" s="114" t="s">
        <v>6</v>
      </c>
      <c r="H446" s="114" t="s">
        <v>7</v>
      </c>
      <c r="I446" s="114" t="s">
        <v>8</v>
      </c>
    </row>
    <row r="447" spans="1:9" s="104" customFormat="1" x14ac:dyDescent="0.3">
      <c r="A447" s="118"/>
      <c r="B447" s="118"/>
      <c r="C447" s="119" t="s">
        <v>9</v>
      </c>
      <c r="D447" s="119" t="s">
        <v>10</v>
      </c>
      <c r="E447" s="118"/>
      <c r="F447" s="120"/>
      <c r="G447" s="120"/>
      <c r="H447" s="120"/>
      <c r="I447" s="120"/>
    </row>
    <row r="448" spans="1:9" s="104" customFormat="1" x14ac:dyDescent="0.3">
      <c r="A448" s="101">
        <v>45864</v>
      </c>
      <c r="B448" s="101" t="s">
        <v>762</v>
      </c>
      <c r="C448" s="121">
        <v>0.91666666666666663</v>
      </c>
      <c r="D448" s="121">
        <v>0.92708333333333337</v>
      </c>
      <c r="E448" s="103">
        <f t="shared" ref="E448:E468" si="20">(D448-C448)*1440</f>
        <v>15.000000000000107</v>
      </c>
      <c r="F448" s="87" t="s">
        <v>658</v>
      </c>
      <c r="G448" s="122" t="s">
        <v>659</v>
      </c>
      <c r="H448" s="122" t="s">
        <v>660</v>
      </c>
      <c r="I448" s="87"/>
    </row>
    <row r="449" spans="1:9" s="104" customFormat="1" x14ac:dyDescent="0.3">
      <c r="A449" s="101">
        <v>45864</v>
      </c>
      <c r="B449" s="101" t="s">
        <v>762</v>
      </c>
      <c r="C449" s="121">
        <v>0.92708333333333337</v>
      </c>
      <c r="D449" s="121">
        <v>0.9375</v>
      </c>
      <c r="E449" s="103">
        <f t="shared" si="20"/>
        <v>14.999999999999947</v>
      </c>
      <c r="F449" s="87" t="s">
        <v>658</v>
      </c>
      <c r="G449" s="125" t="s">
        <v>905</v>
      </c>
      <c r="H449" s="122" t="s">
        <v>662</v>
      </c>
      <c r="I449" s="87"/>
    </row>
    <row r="450" spans="1:9" s="104" customFormat="1" x14ac:dyDescent="0.3">
      <c r="A450" s="101">
        <v>45864</v>
      </c>
      <c r="B450" s="101" t="s">
        <v>762</v>
      </c>
      <c r="C450" s="121">
        <v>0.9375</v>
      </c>
      <c r="D450" s="149">
        <v>0.95833333333333337</v>
      </c>
      <c r="E450" s="150">
        <f t="shared" si="20"/>
        <v>30.000000000000053</v>
      </c>
      <c r="F450" s="112" t="s">
        <v>658</v>
      </c>
      <c r="G450" s="119" t="s">
        <v>687</v>
      </c>
      <c r="H450" s="158" t="s">
        <v>662</v>
      </c>
      <c r="I450" s="112"/>
    </row>
    <row r="451" spans="1:9" s="104" customFormat="1" x14ac:dyDescent="0.3">
      <c r="A451" s="101">
        <v>45864</v>
      </c>
      <c r="B451" s="101" t="s">
        <v>762</v>
      </c>
      <c r="C451" s="149">
        <v>0.95833333333333337</v>
      </c>
      <c r="D451" s="149">
        <v>0.98958333333333337</v>
      </c>
      <c r="E451" s="150">
        <f>(D451-C451)*1440</f>
        <v>45</v>
      </c>
      <c r="F451" s="112" t="s">
        <v>658</v>
      </c>
      <c r="G451" s="158" t="s">
        <v>949</v>
      </c>
      <c r="H451" s="158" t="s">
        <v>662</v>
      </c>
      <c r="I451" s="112"/>
    </row>
    <row r="452" spans="1:9" s="104" customFormat="1" x14ac:dyDescent="0.3">
      <c r="A452" s="101">
        <v>45864</v>
      </c>
      <c r="B452" s="101" t="s">
        <v>762</v>
      </c>
      <c r="C452" s="149">
        <v>0.98958333333333337</v>
      </c>
      <c r="D452" s="149">
        <v>0.99305555555555558</v>
      </c>
      <c r="E452" s="150">
        <f>(D452-C452)*1440</f>
        <v>4.9999999999999822</v>
      </c>
      <c r="F452" s="112" t="s">
        <v>658</v>
      </c>
      <c r="G452" s="158" t="s">
        <v>950</v>
      </c>
      <c r="H452" s="158" t="s">
        <v>662</v>
      </c>
      <c r="I452" s="112"/>
    </row>
    <row r="453" spans="1:9" s="104" customFormat="1" x14ac:dyDescent="0.3">
      <c r="A453" s="101">
        <v>45864</v>
      </c>
      <c r="B453" s="101" t="s">
        <v>762</v>
      </c>
      <c r="C453" s="149">
        <v>0.99305555555555558</v>
      </c>
      <c r="D453" s="149">
        <v>1</v>
      </c>
      <c r="E453" s="150">
        <f t="shared" si="20"/>
        <v>9.9999999999999645</v>
      </c>
      <c r="F453" s="112" t="s">
        <v>658</v>
      </c>
      <c r="G453" s="158" t="s">
        <v>951</v>
      </c>
      <c r="H453" s="158" t="s">
        <v>662</v>
      </c>
      <c r="I453" s="112"/>
    </row>
    <row r="454" spans="1:9" s="104" customFormat="1" x14ac:dyDescent="0.3">
      <c r="A454" s="101">
        <v>45864</v>
      </c>
      <c r="B454" s="101" t="s">
        <v>762</v>
      </c>
      <c r="C454" s="149">
        <v>0</v>
      </c>
      <c r="D454" s="149">
        <v>4.1666666666666664E-2</v>
      </c>
      <c r="E454" s="150">
        <f t="shared" si="20"/>
        <v>60</v>
      </c>
      <c r="F454" s="112" t="s">
        <v>658</v>
      </c>
      <c r="G454" s="160" t="s">
        <v>669</v>
      </c>
      <c r="H454" s="119" t="s">
        <v>670</v>
      </c>
      <c r="I454" s="112"/>
    </row>
    <row r="455" spans="1:9" s="104" customFormat="1" x14ac:dyDescent="0.3">
      <c r="A455" s="101">
        <v>45864</v>
      </c>
      <c r="B455" s="101" t="s">
        <v>762</v>
      </c>
      <c r="C455" s="149">
        <v>4.1666666666666664E-2</v>
      </c>
      <c r="D455" s="149">
        <v>5.2083333333333336E-2</v>
      </c>
      <c r="E455" s="150">
        <f t="shared" si="20"/>
        <v>15.000000000000007</v>
      </c>
      <c r="F455" s="112" t="s">
        <v>658</v>
      </c>
      <c r="G455" s="120" t="s">
        <v>942</v>
      </c>
      <c r="H455" s="119" t="s">
        <v>662</v>
      </c>
      <c r="I455" s="112"/>
    </row>
    <row r="456" spans="1:9" s="104" customFormat="1" x14ac:dyDescent="0.3">
      <c r="A456" s="101">
        <v>45864</v>
      </c>
      <c r="B456" s="101" t="s">
        <v>762</v>
      </c>
      <c r="C456" s="149">
        <v>5.2083333333333336E-2</v>
      </c>
      <c r="D456" s="149">
        <v>7.2916666666666671E-2</v>
      </c>
      <c r="E456" s="150">
        <f t="shared" si="20"/>
        <v>30.000000000000004</v>
      </c>
      <c r="F456" s="112" t="s">
        <v>658</v>
      </c>
      <c r="G456" s="120" t="s">
        <v>952</v>
      </c>
      <c r="H456" s="158" t="s">
        <v>662</v>
      </c>
      <c r="I456" s="112"/>
    </row>
    <row r="457" spans="1:9" s="104" customFormat="1" x14ac:dyDescent="0.3">
      <c r="A457" s="101">
        <v>45864</v>
      </c>
      <c r="B457" s="101" t="s">
        <v>762</v>
      </c>
      <c r="C457" s="149">
        <v>7.2916666666666671E-2</v>
      </c>
      <c r="D457" s="149">
        <v>0.11458333333333333</v>
      </c>
      <c r="E457" s="150">
        <f t="shared" si="20"/>
        <v>59.999999999999986</v>
      </c>
      <c r="F457" s="112" t="s">
        <v>658</v>
      </c>
      <c r="G457" s="120" t="s">
        <v>798</v>
      </c>
      <c r="H457" s="119" t="s">
        <v>909</v>
      </c>
      <c r="I457" s="112"/>
    </row>
    <row r="458" spans="1:9" s="104" customFormat="1" x14ac:dyDescent="0.3">
      <c r="A458" s="101">
        <v>45864</v>
      </c>
      <c r="B458" s="101" t="s">
        <v>762</v>
      </c>
      <c r="C458" s="149">
        <v>0.11458333333333333</v>
      </c>
      <c r="D458" s="149">
        <v>0.14583333333333334</v>
      </c>
      <c r="E458" s="150">
        <f t="shared" si="20"/>
        <v>45.000000000000021</v>
      </c>
      <c r="F458" s="112" t="s">
        <v>658</v>
      </c>
      <c r="G458" s="158" t="s">
        <v>953</v>
      </c>
      <c r="H458" s="158" t="s">
        <v>662</v>
      </c>
      <c r="I458" s="161"/>
    </row>
    <row r="459" spans="1:9" s="104" customFormat="1" x14ac:dyDescent="0.3">
      <c r="A459" s="101">
        <v>45864</v>
      </c>
      <c r="B459" s="101" t="s">
        <v>762</v>
      </c>
      <c r="C459" s="149">
        <v>0.14583333333333334</v>
      </c>
      <c r="D459" s="149">
        <v>0.16666666666666666</v>
      </c>
      <c r="E459" s="150">
        <f t="shared" si="20"/>
        <v>29.999999999999972</v>
      </c>
      <c r="F459" s="112" t="s">
        <v>658</v>
      </c>
      <c r="G459" s="119" t="s">
        <v>954</v>
      </c>
      <c r="H459" s="158" t="s">
        <v>662</v>
      </c>
      <c r="I459" s="161"/>
    </row>
    <row r="460" spans="1:9" s="104" customFormat="1" x14ac:dyDescent="0.3">
      <c r="A460" s="101">
        <v>45864</v>
      </c>
      <c r="B460" s="101" t="s">
        <v>762</v>
      </c>
      <c r="C460" s="149">
        <v>0.16666666666666666</v>
      </c>
      <c r="D460" s="149">
        <v>0.19791666666666666</v>
      </c>
      <c r="E460" s="150">
        <f t="shared" si="20"/>
        <v>45</v>
      </c>
      <c r="F460" s="112" t="s">
        <v>658</v>
      </c>
      <c r="G460" s="119" t="s">
        <v>955</v>
      </c>
      <c r="H460" s="119" t="s">
        <v>662</v>
      </c>
      <c r="I460" s="161"/>
    </row>
    <row r="461" spans="1:9" s="104" customFormat="1" x14ac:dyDescent="0.3">
      <c r="A461" s="101">
        <v>45864</v>
      </c>
      <c r="B461" s="101" t="s">
        <v>762</v>
      </c>
      <c r="C461" s="149">
        <v>0.19791666666666666</v>
      </c>
      <c r="D461" s="149">
        <v>0.20833333333333334</v>
      </c>
      <c r="E461" s="150">
        <f t="shared" si="20"/>
        <v>15.000000000000027</v>
      </c>
      <c r="F461" s="112" t="s">
        <v>658</v>
      </c>
      <c r="G461" s="119" t="s">
        <v>934</v>
      </c>
      <c r="H461" s="119" t="s">
        <v>579</v>
      </c>
      <c r="I461" s="161"/>
    </row>
    <row r="462" spans="1:9" s="104" customFormat="1" x14ac:dyDescent="0.3">
      <c r="A462" s="101">
        <v>45864</v>
      </c>
      <c r="B462" s="101" t="s">
        <v>762</v>
      </c>
      <c r="C462" s="149">
        <v>0.20833333333333334</v>
      </c>
      <c r="D462" s="149">
        <v>0.22916666666666666</v>
      </c>
      <c r="E462" s="150">
        <f t="shared" si="20"/>
        <v>29.999999999999972</v>
      </c>
      <c r="F462" s="112" t="s">
        <v>658</v>
      </c>
      <c r="G462" s="119" t="s">
        <v>953</v>
      </c>
      <c r="H462" s="119" t="s">
        <v>662</v>
      </c>
      <c r="I462" s="161"/>
    </row>
    <row r="463" spans="1:9" s="104" customFormat="1" x14ac:dyDescent="0.3">
      <c r="A463" s="101">
        <v>45864</v>
      </c>
      <c r="B463" s="101" t="s">
        <v>762</v>
      </c>
      <c r="C463" s="149">
        <v>0.22916666666666666</v>
      </c>
      <c r="D463" s="149">
        <v>0.25</v>
      </c>
      <c r="E463" s="150">
        <f t="shared" si="20"/>
        <v>30.000000000000014</v>
      </c>
      <c r="F463" s="112" t="s">
        <v>658</v>
      </c>
      <c r="G463" s="119" t="s">
        <v>956</v>
      </c>
      <c r="H463" s="119" t="s">
        <v>662</v>
      </c>
      <c r="I463" s="161"/>
    </row>
    <row r="464" spans="1:9" s="104" customFormat="1" x14ac:dyDescent="0.3">
      <c r="A464" s="101">
        <v>45864</v>
      </c>
      <c r="B464" s="101" t="s">
        <v>762</v>
      </c>
      <c r="C464" s="149">
        <v>0.25</v>
      </c>
      <c r="D464" s="149">
        <v>0.25694444444444442</v>
      </c>
      <c r="E464" s="150">
        <f t="shared" si="20"/>
        <v>9.9999999999999645</v>
      </c>
      <c r="F464" s="112" t="s">
        <v>658</v>
      </c>
      <c r="G464" s="119" t="s">
        <v>806</v>
      </c>
      <c r="H464" s="119" t="s">
        <v>662</v>
      </c>
      <c r="I464" s="161"/>
    </row>
    <row r="465" spans="1:9" s="104" customFormat="1" x14ac:dyDescent="0.3">
      <c r="A465" s="101">
        <v>45864</v>
      </c>
      <c r="B465" s="101" t="s">
        <v>762</v>
      </c>
      <c r="C465" s="149">
        <v>0.25694444444444442</v>
      </c>
      <c r="D465" s="149">
        <v>0.2673611111111111</v>
      </c>
      <c r="E465" s="150">
        <f t="shared" si="20"/>
        <v>15.000000000000027</v>
      </c>
      <c r="F465" s="112" t="s">
        <v>658</v>
      </c>
      <c r="G465" s="119" t="s">
        <v>957</v>
      </c>
      <c r="H465" s="119" t="s">
        <v>662</v>
      </c>
      <c r="I465" s="161"/>
    </row>
    <row r="466" spans="1:9" s="104" customFormat="1" x14ac:dyDescent="0.3">
      <c r="A466" s="101">
        <v>45864</v>
      </c>
      <c r="B466" s="101" t="s">
        <v>762</v>
      </c>
      <c r="C466" s="149">
        <v>0.2673611111111111</v>
      </c>
      <c r="D466" s="149">
        <v>0.27430555555555558</v>
      </c>
      <c r="E466" s="150">
        <f t="shared" si="20"/>
        <v>10.000000000000044</v>
      </c>
      <c r="F466" s="112" t="s">
        <v>658</v>
      </c>
      <c r="G466" s="119" t="s">
        <v>958</v>
      </c>
      <c r="H466" s="119" t="s">
        <v>662</v>
      </c>
      <c r="I466" s="161"/>
    </row>
    <row r="467" spans="1:9" s="104" customFormat="1" x14ac:dyDescent="0.3">
      <c r="A467" s="101">
        <v>45864</v>
      </c>
      <c r="B467" s="101" t="s">
        <v>762</v>
      </c>
      <c r="C467" s="149">
        <v>0.27430555555555558</v>
      </c>
      <c r="D467" s="149">
        <v>0.28472222222222221</v>
      </c>
      <c r="E467" s="150">
        <f t="shared" si="20"/>
        <v>14.999999999999947</v>
      </c>
      <c r="F467" s="112" t="s">
        <v>658</v>
      </c>
      <c r="G467" s="119" t="s">
        <v>959</v>
      </c>
      <c r="H467" s="119" t="s">
        <v>662</v>
      </c>
      <c r="I467" s="161"/>
    </row>
    <row r="468" spans="1:9" s="104" customFormat="1" x14ac:dyDescent="0.3">
      <c r="A468" s="101">
        <v>45864</v>
      </c>
      <c r="B468" s="101" t="s">
        <v>762</v>
      </c>
      <c r="C468" s="149">
        <v>0.28472222222222221</v>
      </c>
      <c r="D468" s="149">
        <v>0.29166666666666669</v>
      </c>
      <c r="E468" s="150">
        <f t="shared" si="20"/>
        <v>10.000000000000044</v>
      </c>
      <c r="F468" s="112" t="s">
        <v>658</v>
      </c>
      <c r="G468" s="119" t="s">
        <v>960</v>
      </c>
      <c r="H468" s="119" t="s">
        <v>662</v>
      </c>
      <c r="I468" s="161"/>
    </row>
    <row r="469" spans="1:9" s="104" customFormat="1" x14ac:dyDescent="0.3">
      <c r="A469" s="108"/>
      <c r="B469" s="108"/>
      <c r="C469" s="108"/>
      <c r="D469" s="108"/>
      <c r="E469" s="108"/>
      <c r="F469" s="108"/>
      <c r="G469" s="108"/>
      <c r="H469" s="108"/>
      <c r="I469" s="108"/>
    </row>
    <row r="470" spans="1:9" s="104" customFormat="1" ht="26.4" x14ac:dyDescent="0.3">
      <c r="A470" s="114" t="s">
        <v>1</v>
      </c>
      <c r="B470" s="114" t="s">
        <v>2</v>
      </c>
      <c r="C470" s="115" t="s">
        <v>3</v>
      </c>
      <c r="D470" s="116"/>
      <c r="E470" s="114" t="s">
        <v>4</v>
      </c>
      <c r="F470" s="114" t="s">
        <v>5</v>
      </c>
      <c r="G470" s="114" t="s">
        <v>6</v>
      </c>
      <c r="H470" s="114" t="s">
        <v>7</v>
      </c>
      <c r="I470" s="114" t="s">
        <v>8</v>
      </c>
    </row>
    <row r="471" spans="1:9" s="104" customFormat="1" x14ac:dyDescent="0.3">
      <c r="A471" s="118"/>
      <c r="B471" s="118"/>
      <c r="C471" s="119" t="s">
        <v>9</v>
      </c>
      <c r="D471" s="119" t="s">
        <v>10</v>
      </c>
      <c r="E471" s="118"/>
      <c r="F471" s="120"/>
      <c r="G471" s="120"/>
      <c r="H471" s="120"/>
      <c r="I471" s="120"/>
    </row>
    <row r="472" spans="1:9" s="104" customFormat="1" x14ac:dyDescent="0.3">
      <c r="A472" s="101">
        <v>45865</v>
      </c>
      <c r="B472" s="101" t="s">
        <v>732</v>
      </c>
      <c r="C472" s="121">
        <v>0.91666666666666663</v>
      </c>
      <c r="D472" s="121">
        <v>0.92708333333333337</v>
      </c>
      <c r="E472" s="103">
        <f t="shared" ref="E472:E491" si="21">(D472-C472)*1440</f>
        <v>15.000000000000107</v>
      </c>
      <c r="F472" s="87" t="s">
        <v>658</v>
      </c>
      <c r="G472" s="122" t="s">
        <v>659</v>
      </c>
      <c r="H472" s="122" t="s">
        <v>660</v>
      </c>
      <c r="I472" s="87"/>
    </row>
    <row r="473" spans="1:9" s="104" customFormat="1" x14ac:dyDescent="0.3">
      <c r="A473" s="101">
        <v>45865</v>
      </c>
      <c r="B473" s="101" t="s">
        <v>732</v>
      </c>
      <c r="C473" s="121">
        <v>0.92708333333333337</v>
      </c>
      <c r="D473" s="121">
        <v>0.9375</v>
      </c>
      <c r="E473" s="103">
        <f t="shared" si="21"/>
        <v>14.999999999999947</v>
      </c>
      <c r="F473" s="87" t="s">
        <v>658</v>
      </c>
      <c r="G473" s="125" t="s">
        <v>905</v>
      </c>
      <c r="H473" s="122" t="s">
        <v>662</v>
      </c>
      <c r="I473" s="87"/>
    </row>
    <row r="474" spans="1:9" s="104" customFormat="1" x14ac:dyDescent="0.3">
      <c r="A474" s="101">
        <v>45865</v>
      </c>
      <c r="B474" s="101" t="s">
        <v>732</v>
      </c>
      <c r="C474" s="121">
        <v>0.9375</v>
      </c>
      <c r="D474" s="149">
        <v>0.95833333333333337</v>
      </c>
      <c r="E474" s="150">
        <f t="shared" si="21"/>
        <v>30.000000000000053</v>
      </c>
      <c r="F474" s="112" t="s">
        <v>658</v>
      </c>
      <c r="G474" s="119" t="s">
        <v>687</v>
      </c>
      <c r="H474" s="158" t="s">
        <v>662</v>
      </c>
      <c r="I474" s="112"/>
    </row>
    <row r="475" spans="1:9" s="104" customFormat="1" x14ac:dyDescent="0.3">
      <c r="A475" s="101">
        <v>45865</v>
      </c>
      <c r="B475" s="101" t="s">
        <v>732</v>
      </c>
      <c r="C475" s="149">
        <v>0.95833333333333337</v>
      </c>
      <c r="D475" s="149">
        <v>0.97916666666666663</v>
      </c>
      <c r="E475" s="150">
        <f t="shared" si="21"/>
        <v>29.999999999999893</v>
      </c>
      <c r="F475" s="112" t="s">
        <v>658</v>
      </c>
      <c r="G475" s="158" t="s">
        <v>961</v>
      </c>
      <c r="H475" s="158" t="s">
        <v>662</v>
      </c>
      <c r="I475" s="112"/>
    </row>
    <row r="476" spans="1:9" s="104" customFormat="1" x14ac:dyDescent="0.3">
      <c r="A476" s="101">
        <v>45865</v>
      </c>
      <c r="B476" s="101" t="s">
        <v>732</v>
      </c>
      <c r="C476" s="149">
        <v>0.97916666666666663</v>
      </c>
      <c r="D476" s="149">
        <v>0.98958333333333337</v>
      </c>
      <c r="E476" s="150">
        <f t="shared" si="21"/>
        <v>15.000000000000107</v>
      </c>
      <c r="F476" s="112" t="s">
        <v>658</v>
      </c>
      <c r="G476" s="158" t="s">
        <v>962</v>
      </c>
      <c r="H476" s="158" t="s">
        <v>963</v>
      </c>
      <c r="I476" s="112"/>
    </row>
    <row r="477" spans="1:9" s="104" customFormat="1" x14ac:dyDescent="0.3">
      <c r="A477" s="101">
        <v>45865</v>
      </c>
      <c r="B477" s="101" t="s">
        <v>732</v>
      </c>
      <c r="C477" s="149">
        <v>0.98958333333333337</v>
      </c>
      <c r="D477" s="149">
        <v>1</v>
      </c>
      <c r="E477" s="150">
        <f t="shared" si="21"/>
        <v>14.999999999999947</v>
      </c>
      <c r="F477" s="112" t="s">
        <v>658</v>
      </c>
      <c r="G477" s="160" t="s">
        <v>964</v>
      </c>
      <c r="H477" s="158" t="s">
        <v>963</v>
      </c>
      <c r="I477" s="112"/>
    </row>
    <row r="478" spans="1:9" s="104" customFormat="1" x14ac:dyDescent="0.3">
      <c r="A478" s="101">
        <v>45865</v>
      </c>
      <c r="B478" s="101" t="s">
        <v>732</v>
      </c>
      <c r="C478" s="149">
        <v>0</v>
      </c>
      <c r="D478" s="149">
        <v>4.1666666666666664E-2</v>
      </c>
      <c r="E478" s="150">
        <f t="shared" si="21"/>
        <v>60</v>
      </c>
      <c r="F478" s="112" t="s">
        <v>658</v>
      </c>
      <c r="G478" s="120" t="s">
        <v>670</v>
      </c>
      <c r="H478" s="120" t="s">
        <v>670</v>
      </c>
      <c r="I478" s="112"/>
    </row>
    <row r="479" spans="1:9" s="104" customFormat="1" x14ac:dyDescent="0.3">
      <c r="A479" s="101">
        <v>45865</v>
      </c>
      <c r="B479" s="101" t="s">
        <v>732</v>
      </c>
      <c r="C479" s="149">
        <v>4.1666666666666664E-2</v>
      </c>
      <c r="D479" s="149">
        <v>5.2083333333333336E-2</v>
      </c>
      <c r="E479" s="150">
        <f t="shared" si="21"/>
        <v>15.000000000000007</v>
      </c>
      <c r="F479" s="112" t="s">
        <v>658</v>
      </c>
      <c r="G479" s="120" t="s">
        <v>942</v>
      </c>
      <c r="H479" s="158" t="s">
        <v>662</v>
      </c>
      <c r="I479" s="112"/>
    </row>
    <row r="480" spans="1:9" s="104" customFormat="1" x14ac:dyDescent="0.3">
      <c r="A480" s="101">
        <v>45865</v>
      </c>
      <c r="B480" s="101" t="s">
        <v>732</v>
      </c>
      <c r="C480" s="149">
        <v>5.2083333333333336E-2</v>
      </c>
      <c r="D480" s="149">
        <v>8.3333333333333329E-2</v>
      </c>
      <c r="E480" s="150">
        <f t="shared" si="21"/>
        <v>44.999999999999993</v>
      </c>
      <c r="F480" s="112" t="s">
        <v>658</v>
      </c>
      <c r="G480" s="120" t="s">
        <v>798</v>
      </c>
      <c r="H480" s="119" t="s">
        <v>909</v>
      </c>
      <c r="I480" s="112"/>
    </row>
    <row r="481" spans="1:9" s="104" customFormat="1" x14ac:dyDescent="0.3">
      <c r="A481" s="101">
        <v>45865</v>
      </c>
      <c r="B481" s="101" t="s">
        <v>732</v>
      </c>
      <c r="C481" s="149">
        <v>8.3333333333333329E-2</v>
      </c>
      <c r="D481" s="149">
        <v>0.11458333333333333</v>
      </c>
      <c r="E481" s="150">
        <f t="shared" si="21"/>
        <v>45</v>
      </c>
      <c r="F481" s="112" t="s">
        <v>658</v>
      </c>
      <c r="G481" s="158" t="s">
        <v>965</v>
      </c>
      <c r="H481" s="119" t="s">
        <v>909</v>
      </c>
      <c r="I481" s="161"/>
    </row>
    <row r="482" spans="1:9" s="104" customFormat="1" x14ac:dyDescent="0.3">
      <c r="A482" s="101">
        <v>45865</v>
      </c>
      <c r="B482" s="101" t="s">
        <v>732</v>
      </c>
      <c r="C482" s="149">
        <v>0.11458333333333333</v>
      </c>
      <c r="D482" s="149">
        <v>0.14583333333333334</v>
      </c>
      <c r="E482" s="150">
        <f t="shared" si="21"/>
        <v>45.000000000000021</v>
      </c>
      <c r="F482" s="112" t="s">
        <v>658</v>
      </c>
      <c r="G482" s="158" t="s">
        <v>966</v>
      </c>
      <c r="H482" s="119" t="s">
        <v>909</v>
      </c>
      <c r="I482" s="161"/>
    </row>
    <row r="483" spans="1:9" s="104" customFormat="1" x14ac:dyDescent="0.3">
      <c r="A483" s="101">
        <v>45865</v>
      </c>
      <c r="B483" s="101" t="s">
        <v>732</v>
      </c>
      <c r="C483" s="149">
        <v>0.14583333333333334</v>
      </c>
      <c r="D483" s="149">
        <v>0.16666666666666666</v>
      </c>
      <c r="E483" s="150">
        <f t="shared" si="21"/>
        <v>29.999999999999972</v>
      </c>
      <c r="F483" s="112" t="s">
        <v>658</v>
      </c>
      <c r="G483" s="119" t="s">
        <v>967</v>
      </c>
      <c r="H483" s="119" t="s">
        <v>662</v>
      </c>
      <c r="I483" s="161"/>
    </row>
    <row r="484" spans="1:9" s="104" customFormat="1" x14ac:dyDescent="0.3">
      <c r="A484" s="101">
        <v>45865</v>
      </c>
      <c r="B484" s="101" t="s">
        <v>732</v>
      </c>
      <c r="C484" s="149">
        <v>0.16666666666666666</v>
      </c>
      <c r="D484" s="149">
        <v>0.1875</v>
      </c>
      <c r="E484" s="150">
        <f t="shared" si="21"/>
        <v>30.000000000000014</v>
      </c>
      <c r="F484" s="112" t="s">
        <v>658</v>
      </c>
      <c r="G484" s="119" t="s">
        <v>968</v>
      </c>
      <c r="H484" s="119" t="s">
        <v>664</v>
      </c>
      <c r="I484" s="161"/>
    </row>
    <row r="485" spans="1:9" s="104" customFormat="1" x14ac:dyDescent="0.3">
      <c r="A485" s="101">
        <v>45865</v>
      </c>
      <c r="B485" s="101" t="s">
        <v>732</v>
      </c>
      <c r="C485" s="149">
        <v>0.1875</v>
      </c>
      <c r="D485" s="149">
        <v>0.20833333333333334</v>
      </c>
      <c r="E485" s="150">
        <f t="shared" si="21"/>
        <v>30.000000000000014</v>
      </c>
      <c r="F485" s="112" t="s">
        <v>658</v>
      </c>
      <c r="G485" s="119" t="s">
        <v>969</v>
      </c>
      <c r="H485" s="119" t="s">
        <v>664</v>
      </c>
      <c r="I485" s="161"/>
    </row>
    <row r="486" spans="1:9" s="104" customFormat="1" x14ac:dyDescent="0.3">
      <c r="A486" s="101">
        <v>45865</v>
      </c>
      <c r="B486" s="101" t="s">
        <v>732</v>
      </c>
      <c r="C486" s="149">
        <v>0.20833333333333334</v>
      </c>
      <c r="D486" s="149">
        <v>0.21875</v>
      </c>
      <c r="E486" s="150">
        <f t="shared" si="21"/>
        <v>14.999999999999986</v>
      </c>
      <c r="F486" s="112" t="s">
        <v>658</v>
      </c>
      <c r="G486" s="119" t="s">
        <v>925</v>
      </c>
      <c r="H486" s="119" t="s">
        <v>579</v>
      </c>
      <c r="I486" s="161"/>
    </row>
    <row r="487" spans="1:9" s="104" customFormat="1" x14ac:dyDescent="0.3">
      <c r="A487" s="101">
        <v>45865</v>
      </c>
      <c r="B487" s="101" t="s">
        <v>732</v>
      </c>
      <c r="C487" s="149">
        <v>0.21875</v>
      </c>
      <c r="D487" s="149">
        <v>0.23958333333333334</v>
      </c>
      <c r="E487" s="150">
        <f t="shared" si="21"/>
        <v>30.000000000000014</v>
      </c>
      <c r="F487" s="112" t="s">
        <v>658</v>
      </c>
      <c r="G487" s="119" t="s">
        <v>970</v>
      </c>
      <c r="H487" s="119" t="s">
        <v>662</v>
      </c>
      <c r="I487" s="161"/>
    </row>
    <row r="488" spans="1:9" s="104" customFormat="1" x14ac:dyDescent="0.3">
      <c r="A488" s="101">
        <v>45865</v>
      </c>
      <c r="B488" s="101" t="s">
        <v>732</v>
      </c>
      <c r="C488" s="149">
        <v>0.23958333333333334</v>
      </c>
      <c r="D488" s="149">
        <v>0.25</v>
      </c>
      <c r="E488" s="150">
        <f t="shared" si="21"/>
        <v>14.999999999999986</v>
      </c>
      <c r="F488" s="112" t="s">
        <v>658</v>
      </c>
      <c r="G488" s="119" t="s">
        <v>761</v>
      </c>
      <c r="H488" s="119"/>
      <c r="I488" s="161"/>
    </row>
    <row r="489" spans="1:9" s="104" customFormat="1" x14ac:dyDescent="0.3">
      <c r="A489" s="148">
        <v>45865</v>
      </c>
      <c r="B489" s="148" t="s">
        <v>732</v>
      </c>
      <c r="C489" s="149">
        <v>0.25</v>
      </c>
      <c r="D489" s="149">
        <v>0.27083333333333331</v>
      </c>
      <c r="E489" s="150">
        <f t="shared" si="21"/>
        <v>29.999999999999972</v>
      </c>
      <c r="F489" s="112" t="s">
        <v>658</v>
      </c>
      <c r="G489" s="119" t="s">
        <v>971</v>
      </c>
      <c r="H489" s="119" t="s">
        <v>662</v>
      </c>
      <c r="I489" s="161"/>
    </row>
    <row r="490" spans="1:9" s="104" customFormat="1" x14ac:dyDescent="0.3">
      <c r="A490" s="148">
        <v>45865</v>
      </c>
      <c r="B490" s="148" t="s">
        <v>732</v>
      </c>
      <c r="C490" s="149">
        <v>0.27083333333333331</v>
      </c>
      <c r="D490" s="149">
        <v>0.3125</v>
      </c>
      <c r="E490" s="150">
        <f t="shared" si="21"/>
        <v>60.000000000000028</v>
      </c>
      <c r="F490" s="112" t="s">
        <v>658</v>
      </c>
      <c r="G490" s="119" t="s">
        <v>945</v>
      </c>
      <c r="H490" s="119" t="s">
        <v>662</v>
      </c>
      <c r="I490" s="161"/>
    </row>
    <row r="491" spans="1:9" s="104" customFormat="1" x14ac:dyDescent="0.3">
      <c r="A491" s="148">
        <v>45865</v>
      </c>
      <c r="B491" s="148" t="s">
        <v>732</v>
      </c>
      <c r="C491" s="149">
        <v>0.3125</v>
      </c>
      <c r="D491" s="149">
        <v>0.33333333333333331</v>
      </c>
      <c r="E491" s="150">
        <f t="shared" si="21"/>
        <v>29.999999999999972</v>
      </c>
      <c r="F491" s="112" t="s">
        <v>658</v>
      </c>
      <c r="G491" s="119" t="s">
        <v>972</v>
      </c>
      <c r="H491" s="119" t="s">
        <v>662</v>
      </c>
      <c r="I491" s="161"/>
    </row>
    <row r="492" spans="1:9" s="104" customFormat="1" x14ac:dyDescent="0.3">
      <c r="A492" s="108"/>
      <c r="B492" s="108"/>
      <c r="C492" s="108"/>
      <c r="D492" s="108"/>
      <c r="E492" s="108"/>
      <c r="F492" s="108"/>
      <c r="G492" s="108"/>
      <c r="H492" s="108"/>
      <c r="I492" s="108"/>
    </row>
    <row r="493" spans="1:9" s="104" customFormat="1" ht="26.4" x14ac:dyDescent="0.3">
      <c r="A493" s="163" t="s">
        <v>1</v>
      </c>
      <c r="B493" s="163" t="s">
        <v>2</v>
      </c>
      <c r="C493" s="164" t="s">
        <v>3</v>
      </c>
      <c r="D493" s="165"/>
      <c r="E493" s="163" t="s">
        <v>4</v>
      </c>
      <c r="F493" s="163" t="s">
        <v>5</v>
      </c>
      <c r="G493" s="163" t="s">
        <v>6</v>
      </c>
      <c r="H493" s="163" t="s">
        <v>7</v>
      </c>
      <c r="I493" s="163" t="s">
        <v>8</v>
      </c>
    </row>
    <row r="494" spans="1:9" s="104" customFormat="1" x14ac:dyDescent="0.3">
      <c r="A494" s="166"/>
      <c r="B494" s="166"/>
      <c r="C494" s="167" t="s">
        <v>9</v>
      </c>
      <c r="D494" s="167" t="s">
        <v>10</v>
      </c>
      <c r="E494" s="166"/>
      <c r="F494" s="168"/>
      <c r="G494" s="168"/>
      <c r="H494" s="168"/>
      <c r="I494" s="168"/>
    </row>
    <row r="495" spans="1:9" s="104" customFormat="1" x14ac:dyDescent="0.3">
      <c r="A495" s="101">
        <v>45866</v>
      </c>
      <c r="B495" s="101" t="s">
        <v>747</v>
      </c>
      <c r="C495" s="121">
        <v>0.58333333333333337</v>
      </c>
      <c r="D495" s="121">
        <v>0.59375</v>
      </c>
      <c r="E495" s="103">
        <f t="shared" ref="E495:E511" si="22">(D495-C495)*1440</f>
        <v>14.999999999999947</v>
      </c>
      <c r="F495" s="87" t="s">
        <v>658</v>
      </c>
      <c r="G495" s="122" t="s">
        <v>659</v>
      </c>
      <c r="H495" s="122"/>
      <c r="I495" s="87"/>
    </row>
    <row r="496" spans="1:9" s="104" customFormat="1" x14ac:dyDescent="0.3">
      <c r="A496" s="101">
        <v>45866</v>
      </c>
      <c r="B496" s="101" t="s">
        <v>747</v>
      </c>
      <c r="C496" s="121">
        <v>0.59375</v>
      </c>
      <c r="D496" s="121">
        <v>0.60416666666666663</v>
      </c>
      <c r="E496" s="103">
        <f t="shared" si="22"/>
        <v>14.999999999999947</v>
      </c>
      <c r="F496" s="87" t="s">
        <v>658</v>
      </c>
      <c r="G496" s="125" t="s">
        <v>905</v>
      </c>
      <c r="H496" s="122"/>
      <c r="I496" s="87"/>
    </row>
    <row r="497" spans="1:9" s="104" customFormat="1" x14ac:dyDescent="0.3">
      <c r="A497" s="101">
        <v>45866</v>
      </c>
      <c r="B497" s="101" t="s">
        <v>747</v>
      </c>
      <c r="C497" s="121">
        <v>0.60416666666666663</v>
      </c>
      <c r="D497" s="121">
        <v>0.64583333333333337</v>
      </c>
      <c r="E497" s="150">
        <f t="shared" si="22"/>
        <v>60.000000000000107</v>
      </c>
      <c r="F497" s="112" t="s">
        <v>658</v>
      </c>
      <c r="G497" s="119" t="s">
        <v>973</v>
      </c>
      <c r="H497" s="158"/>
      <c r="I497" s="112"/>
    </row>
    <row r="498" spans="1:9" s="104" customFormat="1" x14ac:dyDescent="0.3">
      <c r="A498" s="101">
        <v>45866</v>
      </c>
      <c r="B498" s="101" t="s">
        <v>747</v>
      </c>
      <c r="C498" s="121">
        <v>0.64583333333333337</v>
      </c>
      <c r="D498" s="121">
        <v>0.65625</v>
      </c>
      <c r="E498" s="150">
        <f t="shared" si="22"/>
        <v>14.999999999999947</v>
      </c>
      <c r="F498" s="112" t="s">
        <v>658</v>
      </c>
      <c r="G498" s="158" t="s">
        <v>974</v>
      </c>
      <c r="H498" s="158"/>
      <c r="I498" s="112"/>
    </row>
    <row r="499" spans="1:9" s="104" customFormat="1" x14ac:dyDescent="0.3">
      <c r="A499" s="101">
        <v>45866</v>
      </c>
      <c r="B499" s="101" t="s">
        <v>747</v>
      </c>
      <c r="C499" s="121">
        <v>0.65625</v>
      </c>
      <c r="D499" s="121">
        <v>0.6875</v>
      </c>
      <c r="E499" s="150">
        <f t="shared" si="22"/>
        <v>45</v>
      </c>
      <c r="F499" s="112" t="s">
        <v>658</v>
      </c>
      <c r="G499" s="158" t="s">
        <v>975</v>
      </c>
      <c r="H499" s="158"/>
      <c r="I499" s="112"/>
    </row>
    <row r="500" spans="1:9" s="104" customFormat="1" x14ac:dyDescent="0.3">
      <c r="A500" s="101">
        <v>45866</v>
      </c>
      <c r="B500" s="101" t="s">
        <v>747</v>
      </c>
      <c r="C500" s="121">
        <v>0.6875</v>
      </c>
      <c r="D500" s="121">
        <v>0.69791666666666663</v>
      </c>
      <c r="E500" s="150">
        <f t="shared" si="22"/>
        <v>14.999999999999947</v>
      </c>
      <c r="F500" s="112" t="s">
        <v>658</v>
      </c>
      <c r="G500" s="160" t="s">
        <v>976</v>
      </c>
      <c r="H500" s="158"/>
      <c r="I500" s="112"/>
    </row>
    <row r="501" spans="1:9" s="104" customFormat="1" x14ac:dyDescent="0.3">
      <c r="A501" s="101">
        <v>45866</v>
      </c>
      <c r="B501" s="101" t="s">
        <v>747</v>
      </c>
      <c r="C501" s="121">
        <v>0.69791666666666663</v>
      </c>
      <c r="D501" s="121">
        <v>0.70833333333333337</v>
      </c>
      <c r="E501" s="150">
        <f t="shared" si="22"/>
        <v>15.000000000000107</v>
      </c>
      <c r="F501" s="112" t="s">
        <v>658</v>
      </c>
      <c r="G501" s="120" t="s">
        <v>977</v>
      </c>
      <c r="H501" s="120"/>
      <c r="I501" s="112"/>
    </row>
    <row r="502" spans="1:9" s="104" customFormat="1" x14ac:dyDescent="0.3">
      <c r="A502" s="101">
        <v>45866</v>
      </c>
      <c r="B502" s="101" t="s">
        <v>747</v>
      </c>
      <c r="C502" s="121">
        <v>0.70833333333333337</v>
      </c>
      <c r="D502" s="121">
        <v>0.71180555555555558</v>
      </c>
      <c r="E502" s="150">
        <f t="shared" si="22"/>
        <v>4.9999999999999822</v>
      </c>
      <c r="F502" s="112" t="s">
        <v>658</v>
      </c>
      <c r="G502" s="120" t="s">
        <v>889</v>
      </c>
      <c r="H502" s="158"/>
      <c r="I502" s="112"/>
    </row>
    <row r="503" spans="1:9" s="104" customFormat="1" x14ac:dyDescent="0.3">
      <c r="A503" s="101">
        <v>45866</v>
      </c>
      <c r="B503" s="101" t="s">
        <v>747</v>
      </c>
      <c r="C503" s="121">
        <v>0.71180555555555558</v>
      </c>
      <c r="D503" s="121">
        <v>0.72916666666666663</v>
      </c>
      <c r="E503" s="150">
        <f t="shared" si="22"/>
        <v>24.999999999999911</v>
      </c>
      <c r="F503" s="112" t="s">
        <v>658</v>
      </c>
      <c r="G503" s="120" t="s">
        <v>978</v>
      </c>
      <c r="H503" s="119"/>
      <c r="I503" s="112"/>
    </row>
    <row r="504" spans="1:9" s="104" customFormat="1" x14ac:dyDescent="0.3">
      <c r="A504" s="101">
        <v>45866</v>
      </c>
      <c r="B504" s="101" t="s">
        <v>747</v>
      </c>
      <c r="C504" s="121">
        <v>0.72916666666666663</v>
      </c>
      <c r="D504" s="121">
        <v>0.75</v>
      </c>
      <c r="E504" s="150">
        <f t="shared" si="22"/>
        <v>30.000000000000053</v>
      </c>
      <c r="F504" s="112" t="s">
        <v>658</v>
      </c>
      <c r="G504" s="158" t="s">
        <v>979</v>
      </c>
      <c r="H504" s="119"/>
      <c r="I504" s="161"/>
    </row>
    <row r="505" spans="1:9" s="104" customFormat="1" x14ac:dyDescent="0.3">
      <c r="A505" s="101">
        <v>45866</v>
      </c>
      <c r="B505" s="101" t="s">
        <v>747</v>
      </c>
      <c r="C505" s="121">
        <v>0.75</v>
      </c>
      <c r="D505" s="121">
        <v>0.79166666666666663</v>
      </c>
      <c r="E505" s="150">
        <f t="shared" si="22"/>
        <v>59.999999999999943</v>
      </c>
      <c r="F505" s="112" t="s">
        <v>658</v>
      </c>
      <c r="G505" s="158" t="s">
        <v>670</v>
      </c>
      <c r="H505" s="119"/>
      <c r="I505" s="161"/>
    </row>
    <row r="506" spans="1:9" s="104" customFormat="1" x14ac:dyDescent="0.3">
      <c r="A506" s="101">
        <v>45866</v>
      </c>
      <c r="B506" s="101" t="s">
        <v>747</v>
      </c>
      <c r="C506" s="121">
        <v>0.79166666666666663</v>
      </c>
      <c r="D506" s="121">
        <v>0.80208333333333337</v>
      </c>
      <c r="E506" s="150">
        <f t="shared" si="22"/>
        <v>15.000000000000107</v>
      </c>
      <c r="F506" s="112" t="s">
        <v>658</v>
      </c>
      <c r="G506" s="119" t="s">
        <v>980</v>
      </c>
      <c r="H506" s="119"/>
      <c r="I506" s="161"/>
    </row>
    <row r="507" spans="1:9" s="104" customFormat="1" x14ac:dyDescent="0.3">
      <c r="A507" s="101">
        <v>45866</v>
      </c>
      <c r="B507" s="101" t="s">
        <v>747</v>
      </c>
      <c r="C507" s="121">
        <v>0.80208333333333337</v>
      </c>
      <c r="D507" s="121">
        <v>0.90625</v>
      </c>
      <c r="E507" s="150">
        <f t="shared" si="22"/>
        <v>149.99999999999994</v>
      </c>
      <c r="F507" s="112" t="s">
        <v>658</v>
      </c>
      <c r="G507" s="119" t="s">
        <v>981</v>
      </c>
      <c r="H507" s="119"/>
      <c r="I507" s="161"/>
    </row>
    <row r="508" spans="1:9" s="104" customFormat="1" x14ac:dyDescent="0.3">
      <c r="A508" s="101">
        <v>45866</v>
      </c>
      <c r="B508" s="101" t="s">
        <v>747</v>
      </c>
      <c r="C508" s="121">
        <v>0.90625</v>
      </c>
      <c r="D508" s="121">
        <v>0.91666666666666663</v>
      </c>
      <c r="E508" s="150">
        <f t="shared" si="22"/>
        <v>14.999999999999947</v>
      </c>
      <c r="F508" s="112" t="s">
        <v>658</v>
      </c>
      <c r="G508" s="119" t="s">
        <v>971</v>
      </c>
      <c r="H508" s="119"/>
      <c r="I508" s="161"/>
    </row>
    <row r="509" spans="1:9" s="104" customFormat="1" x14ac:dyDescent="0.3">
      <c r="A509" s="101">
        <v>45866</v>
      </c>
      <c r="B509" s="101" t="s">
        <v>747</v>
      </c>
      <c r="C509" s="121">
        <v>0.91666666666666663</v>
      </c>
      <c r="D509" s="121">
        <v>0.9375</v>
      </c>
      <c r="E509" s="150">
        <f t="shared" si="22"/>
        <v>30.000000000000053</v>
      </c>
      <c r="F509" s="112" t="s">
        <v>658</v>
      </c>
      <c r="G509" s="119" t="s">
        <v>982</v>
      </c>
      <c r="H509" s="119"/>
      <c r="I509" s="161"/>
    </row>
    <row r="510" spans="1:9" s="104" customFormat="1" x14ac:dyDescent="0.3">
      <c r="A510" s="101">
        <v>45866</v>
      </c>
      <c r="B510" s="101" t="s">
        <v>747</v>
      </c>
      <c r="C510" s="121">
        <v>0.9375</v>
      </c>
      <c r="D510" s="121">
        <v>0.94791666666666663</v>
      </c>
      <c r="E510" s="150">
        <f t="shared" si="22"/>
        <v>14.999999999999947</v>
      </c>
      <c r="F510" s="112" t="s">
        <v>658</v>
      </c>
      <c r="G510" s="119" t="s">
        <v>983</v>
      </c>
      <c r="H510" s="119"/>
      <c r="I510" s="161"/>
    </row>
    <row r="511" spans="1:9" s="104" customFormat="1" x14ac:dyDescent="0.3">
      <c r="A511" s="101">
        <v>45866</v>
      </c>
      <c r="B511" s="101" t="s">
        <v>747</v>
      </c>
      <c r="C511" s="121">
        <v>0.94791666666666663</v>
      </c>
      <c r="D511" s="121">
        <v>0.95833333333333337</v>
      </c>
      <c r="E511" s="150">
        <f t="shared" si="22"/>
        <v>15.000000000000107</v>
      </c>
      <c r="F511" s="112" t="s">
        <v>658</v>
      </c>
      <c r="G511" s="119" t="s">
        <v>761</v>
      </c>
      <c r="H511" s="119"/>
      <c r="I511" s="161"/>
    </row>
    <row r="512" spans="1:9" s="104" customFormat="1" x14ac:dyDescent="0.3">
      <c r="A512" s="108"/>
      <c r="B512" s="108"/>
      <c r="C512" s="108"/>
      <c r="D512" s="108"/>
      <c r="E512" s="108"/>
      <c r="F512" s="108"/>
      <c r="G512" s="108"/>
      <c r="H512" s="108"/>
      <c r="I512" s="108"/>
    </row>
    <row r="513" spans="1:9" s="104" customFormat="1" ht="26.4" x14ac:dyDescent="0.3">
      <c r="A513" s="163" t="s">
        <v>1</v>
      </c>
      <c r="B513" s="163" t="s">
        <v>2</v>
      </c>
      <c r="C513" s="169" t="s">
        <v>3</v>
      </c>
      <c r="D513" s="170"/>
      <c r="E513" s="163" t="s">
        <v>4</v>
      </c>
      <c r="F513" s="163" t="s">
        <v>5</v>
      </c>
      <c r="G513" s="163" t="s">
        <v>6</v>
      </c>
      <c r="H513" s="163" t="s">
        <v>7</v>
      </c>
      <c r="I513" s="163" t="s">
        <v>8</v>
      </c>
    </row>
    <row r="514" spans="1:9" s="104" customFormat="1" x14ac:dyDescent="0.3">
      <c r="A514" s="166"/>
      <c r="B514" s="166"/>
      <c r="C514" s="167" t="s">
        <v>9</v>
      </c>
      <c r="D514" s="167" t="s">
        <v>10</v>
      </c>
      <c r="E514" s="166"/>
      <c r="F514" s="168"/>
      <c r="G514" s="168"/>
      <c r="H514" s="168"/>
      <c r="I514" s="168"/>
    </row>
    <row r="515" spans="1:9" s="104" customFormat="1" x14ac:dyDescent="0.3">
      <c r="A515" s="101">
        <v>45867</v>
      </c>
      <c r="B515" s="101" t="s">
        <v>831</v>
      </c>
      <c r="C515" s="121">
        <v>0.25</v>
      </c>
      <c r="D515" s="121">
        <v>0.26041666666666669</v>
      </c>
      <c r="E515" s="103">
        <f t="shared" ref="E515:E534" si="23">(D515-C515)*1440</f>
        <v>15.000000000000027</v>
      </c>
      <c r="F515" s="87" t="s">
        <v>658</v>
      </c>
      <c r="G515" s="122" t="s">
        <v>659</v>
      </c>
      <c r="H515" s="122"/>
      <c r="I515" s="87"/>
    </row>
    <row r="516" spans="1:9" s="104" customFormat="1" x14ac:dyDescent="0.3">
      <c r="A516" s="101">
        <v>45867</v>
      </c>
      <c r="B516" s="101" t="s">
        <v>831</v>
      </c>
      <c r="C516" s="121">
        <v>0.26041666666666669</v>
      </c>
      <c r="D516" s="121">
        <v>0.28125</v>
      </c>
      <c r="E516" s="103">
        <f t="shared" si="23"/>
        <v>29.999999999999972</v>
      </c>
      <c r="F516" s="87" t="s">
        <v>658</v>
      </c>
      <c r="G516" s="125" t="s">
        <v>984</v>
      </c>
      <c r="H516" s="122"/>
      <c r="I516" s="87"/>
    </row>
    <row r="517" spans="1:9" s="104" customFormat="1" x14ac:dyDescent="0.3">
      <c r="A517" s="101">
        <v>45867</v>
      </c>
      <c r="B517" s="101" t="s">
        <v>831</v>
      </c>
      <c r="C517" s="121">
        <v>0.28125</v>
      </c>
      <c r="D517" s="121">
        <v>0.29166666666666669</v>
      </c>
      <c r="E517" s="150">
        <f t="shared" si="23"/>
        <v>15.000000000000027</v>
      </c>
      <c r="F517" s="112" t="s">
        <v>658</v>
      </c>
      <c r="G517" s="119" t="s">
        <v>811</v>
      </c>
      <c r="H517" s="158"/>
      <c r="I517" s="112"/>
    </row>
    <row r="518" spans="1:9" s="104" customFormat="1" x14ac:dyDescent="0.3">
      <c r="A518" s="101">
        <v>45867</v>
      </c>
      <c r="B518" s="101" t="s">
        <v>831</v>
      </c>
      <c r="C518" s="121">
        <v>0.29166666666666669</v>
      </c>
      <c r="D518" s="121">
        <v>0.2951388888888889</v>
      </c>
      <c r="E518" s="150">
        <f t="shared" si="23"/>
        <v>4.9999999999999822</v>
      </c>
      <c r="F518" s="112" t="s">
        <v>658</v>
      </c>
      <c r="G518" s="158" t="s">
        <v>985</v>
      </c>
      <c r="H518" s="158"/>
      <c r="I518" s="112"/>
    </row>
    <row r="519" spans="1:9" s="104" customFormat="1" x14ac:dyDescent="0.3">
      <c r="A519" s="101">
        <v>45867</v>
      </c>
      <c r="B519" s="101" t="s">
        <v>831</v>
      </c>
      <c r="C519" s="121">
        <v>0.2951388888888889</v>
      </c>
      <c r="D519" s="121">
        <v>0.33333333333333331</v>
      </c>
      <c r="E519" s="150">
        <f t="shared" si="23"/>
        <v>54.999999999999964</v>
      </c>
      <c r="F519" s="112" t="s">
        <v>658</v>
      </c>
      <c r="G519" s="158" t="s">
        <v>814</v>
      </c>
      <c r="H519" s="158"/>
      <c r="I519" s="112"/>
    </row>
    <row r="520" spans="1:9" s="104" customFormat="1" x14ac:dyDescent="0.3">
      <c r="A520" s="101">
        <v>45867</v>
      </c>
      <c r="B520" s="101" t="s">
        <v>831</v>
      </c>
      <c r="C520" s="121">
        <v>0.33333333333333331</v>
      </c>
      <c r="D520" s="121">
        <v>0.375</v>
      </c>
      <c r="E520" s="150">
        <f t="shared" si="23"/>
        <v>60.000000000000028</v>
      </c>
      <c r="F520" s="112" t="s">
        <v>658</v>
      </c>
      <c r="G520" s="160" t="s">
        <v>986</v>
      </c>
      <c r="H520" s="158"/>
      <c r="I520" s="112"/>
    </row>
    <row r="521" spans="1:9" s="104" customFormat="1" x14ac:dyDescent="0.3">
      <c r="A521" s="101">
        <v>45867</v>
      </c>
      <c r="B521" s="101" t="s">
        <v>831</v>
      </c>
      <c r="C521" s="121">
        <v>0.375</v>
      </c>
      <c r="D521" s="121">
        <v>0.45833333333333331</v>
      </c>
      <c r="E521" s="150">
        <f t="shared" si="23"/>
        <v>119.99999999999997</v>
      </c>
      <c r="F521" s="112" t="s">
        <v>658</v>
      </c>
      <c r="G521" s="120" t="s">
        <v>987</v>
      </c>
      <c r="H521" s="120"/>
      <c r="I521" s="112"/>
    </row>
    <row r="522" spans="1:9" s="104" customFormat="1" x14ac:dyDescent="0.3">
      <c r="A522" s="101">
        <v>45867</v>
      </c>
      <c r="B522" s="101" t="s">
        <v>831</v>
      </c>
      <c r="C522" s="121">
        <v>0.45833333333333331</v>
      </c>
      <c r="D522" s="121">
        <v>0.46875</v>
      </c>
      <c r="E522" s="150">
        <f t="shared" si="23"/>
        <v>15.000000000000027</v>
      </c>
      <c r="F522" s="112" t="s">
        <v>658</v>
      </c>
      <c r="G522" s="120" t="s">
        <v>988</v>
      </c>
      <c r="H522" s="158"/>
      <c r="I522" s="112"/>
    </row>
    <row r="523" spans="1:9" s="104" customFormat="1" x14ac:dyDescent="0.3">
      <c r="A523" s="101">
        <v>45867</v>
      </c>
      <c r="B523" s="101" t="s">
        <v>831</v>
      </c>
      <c r="C523" s="121">
        <v>0.46875</v>
      </c>
      <c r="D523" s="121">
        <v>0.5</v>
      </c>
      <c r="E523" s="150">
        <f t="shared" si="23"/>
        <v>45</v>
      </c>
      <c r="F523" s="112" t="s">
        <v>658</v>
      </c>
      <c r="G523" s="120" t="s">
        <v>989</v>
      </c>
      <c r="H523" s="119"/>
      <c r="I523" s="112"/>
    </row>
    <row r="524" spans="1:9" s="104" customFormat="1" x14ac:dyDescent="0.3">
      <c r="A524" s="101">
        <v>45867</v>
      </c>
      <c r="B524" s="101" t="s">
        <v>831</v>
      </c>
      <c r="C524" s="121">
        <v>0.5</v>
      </c>
      <c r="D524" s="121">
        <v>0.54166666666666663</v>
      </c>
      <c r="E524" s="150">
        <f t="shared" si="23"/>
        <v>59.999999999999943</v>
      </c>
      <c r="F524" s="112" t="s">
        <v>658</v>
      </c>
      <c r="G524" s="158" t="s">
        <v>670</v>
      </c>
      <c r="H524" s="119"/>
      <c r="I524" s="161"/>
    </row>
    <row r="525" spans="1:9" s="104" customFormat="1" x14ac:dyDescent="0.3">
      <c r="A525" s="101">
        <v>45867</v>
      </c>
      <c r="B525" s="101" t="s">
        <v>831</v>
      </c>
      <c r="C525" s="121">
        <v>0.54166666666666663</v>
      </c>
      <c r="D525" s="121">
        <v>0.5625</v>
      </c>
      <c r="E525" s="150">
        <f t="shared" si="23"/>
        <v>30.000000000000053</v>
      </c>
      <c r="F525" s="112" t="s">
        <v>658</v>
      </c>
      <c r="G525" s="158" t="s">
        <v>990</v>
      </c>
      <c r="H525" s="119"/>
      <c r="I525" s="161"/>
    </row>
    <row r="526" spans="1:9" s="104" customFormat="1" x14ac:dyDescent="0.3">
      <c r="A526" s="101">
        <v>45867</v>
      </c>
      <c r="B526" s="101" t="s">
        <v>831</v>
      </c>
      <c r="C526" s="121">
        <v>0.5625</v>
      </c>
      <c r="D526" s="121">
        <v>0.57291666666666663</v>
      </c>
      <c r="E526" s="150">
        <f t="shared" si="23"/>
        <v>14.999999999999947</v>
      </c>
      <c r="F526" s="112" t="s">
        <v>658</v>
      </c>
      <c r="G526" s="119" t="s">
        <v>991</v>
      </c>
      <c r="H526" s="119"/>
      <c r="I526" s="161"/>
    </row>
    <row r="527" spans="1:9" s="104" customFormat="1" x14ac:dyDescent="0.3">
      <c r="A527" s="101">
        <v>45867</v>
      </c>
      <c r="B527" s="101" t="s">
        <v>831</v>
      </c>
      <c r="C527" s="121">
        <v>0.57291666666666663</v>
      </c>
      <c r="D527" s="121">
        <v>0.58333333333333337</v>
      </c>
      <c r="E527" s="150">
        <f t="shared" si="23"/>
        <v>15.000000000000107</v>
      </c>
      <c r="F527" s="112" t="s">
        <v>658</v>
      </c>
      <c r="G527" s="119" t="s">
        <v>992</v>
      </c>
      <c r="H527" s="119"/>
      <c r="I527" s="161"/>
    </row>
    <row r="528" spans="1:9" s="104" customFormat="1" x14ac:dyDescent="0.3">
      <c r="A528" s="101">
        <v>45867</v>
      </c>
      <c r="B528" s="101" t="s">
        <v>831</v>
      </c>
      <c r="C528" s="121">
        <v>0.58333333333333337</v>
      </c>
      <c r="D528" s="121">
        <v>0.64583333333333337</v>
      </c>
      <c r="E528" s="150">
        <f t="shared" si="23"/>
        <v>90</v>
      </c>
      <c r="F528" s="112" t="s">
        <v>658</v>
      </c>
      <c r="G528" s="119" t="s">
        <v>993</v>
      </c>
      <c r="H528" s="119"/>
      <c r="I528" s="161"/>
    </row>
    <row r="529" spans="1:9" s="104" customFormat="1" x14ac:dyDescent="0.3">
      <c r="A529" s="101">
        <v>45867</v>
      </c>
      <c r="B529" s="101" t="s">
        <v>831</v>
      </c>
      <c r="C529" s="121">
        <v>0.64583333333333337</v>
      </c>
      <c r="D529" s="121">
        <v>0.65625</v>
      </c>
      <c r="E529" s="150">
        <f t="shared" si="23"/>
        <v>14.999999999999947</v>
      </c>
      <c r="F529" s="112" t="s">
        <v>658</v>
      </c>
      <c r="G529" s="119" t="s">
        <v>994</v>
      </c>
      <c r="H529" s="119"/>
      <c r="I529" s="161"/>
    </row>
    <row r="530" spans="1:9" s="104" customFormat="1" x14ac:dyDescent="0.3">
      <c r="A530" s="101">
        <v>45867</v>
      </c>
      <c r="B530" s="101" t="s">
        <v>831</v>
      </c>
      <c r="C530" s="121">
        <v>0.65625</v>
      </c>
      <c r="D530" s="121">
        <v>0.65972222222222221</v>
      </c>
      <c r="E530" s="150">
        <f t="shared" si="23"/>
        <v>4.9999999999999822</v>
      </c>
      <c r="F530" s="112" t="s">
        <v>658</v>
      </c>
      <c r="G530" s="119" t="s">
        <v>995</v>
      </c>
      <c r="H530" s="119"/>
      <c r="I530" s="161"/>
    </row>
    <row r="531" spans="1:9" s="104" customFormat="1" x14ac:dyDescent="0.3">
      <c r="A531" s="101">
        <v>45867</v>
      </c>
      <c r="B531" s="101" t="s">
        <v>831</v>
      </c>
      <c r="C531" s="121">
        <v>0.65972222222222221</v>
      </c>
      <c r="D531" s="121">
        <v>0.66666666666666663</v>
      </c>
      <c r="E531" s="150">
        <f t="shared" si="23"/>
        <v>9.9999999999999645</v>
      </c>
      <c r="F531" s="112" t="s">
        <v>658</v>
      </c>
      <c r="G531" s="119" t="s">
        <v>996</v>
      </c>
      <c r="H531" s="119"/>
      <c r="I531" s="161"/>
    </row>
    <row r="532" spans="1:9" s="104" customFormat="1" x14ac:dyDescent="0.3">
      <c r="A532" s="101">
        <v>45867</v>
      </c>
      <c r="B532" s="101" t="s">
        <v>831</v>
      </c>
      <c r="C532" s="121">
        <v>0.66666666666666663</v>
      </c>
      <c r="D532" s="121">
        <v>0.67708333333333337</v>
      </c>
      <c r="E532" s="150">
        <f t="shared" si="23"/>
        <v>15.000000000000107</v>
      </c>
      <c r="F532" s="112" t="s">
        <v>658</v>
      </c>
      <c r="G532" s="119" t="s">
        <v>997</v>
      </c>
      <c r="H532" s="119"/>
      <c r="I532" s="161"/>
    </row>
    <row r="533" spans="1:9" s="104" customFormat="1" x14ac:dyDescent="0.3">
      <c r="A533" s="101">
        <v>45867</v>
      </c>
      <c r="B533" s="101" t="s">
        <v>831</v>
      </c>
      <c r="C533" s="121">
        <v>0.67708333333333337</v>
      </c>
      <c r="D533" s="121">
        <v>0.76041666666666663</v>
      </c>
      <c r="E533" s="150">
        <f t="shared" si="23"/>
        <v>119.99999999999989</v>
      </c>
      <c r="F533" s="112" t="s">
        <v>658</v>
      </c>
      <c r="G533" s="119" t="s">
        <v>998</v>
      </c>
      <c r="H533" s="119"/>
      <c r="I533" s="161"/>
    </row>
    <row r="534" spans="1:9" s="104" customFormat="1" x14ac:dyDescent="0.3">
      <c r="A534" s="101">
        <v>45867</v>
      </c>
      <c r="B534" s="101" t="s">
        <v>831</v>
      </c>
      <c r="C534" s="121">
        <v>0.76041666666666663</v>
      </c>
      <c r="D534" s="121">
        <v>0.79166666666666663</v>
      </c>
      <c r="E534" s="150">
        <f t="shared" si="23"/>
        <v>45</v>
      </c>
      <c r="F534" s="112" t="s">
        <v>658</v>
      </c>
      <c r="G534" s="119" t="s">
        <v>302</v>
      </c>
      <c r="H534" s="119"/>
      <c r="I534" s="161"/>
    </row>
    <row r="535" spans="1:9" s="104" customFormat="1" x14ac:dyDescent="0.3">
      <c r="A535" s="101">
        <v>45867</v>
      </c>
      <c r="B535" s="101" t="s">
        <v>831</v>
      </c>
      <c r="C535" s="121">
        <v>0.79166666666666663</v>
      </c>
      <c r="D535" s="121">
        <v>0.86805555555555558</v>
      </c>
      <c r="E535" s="150">
        <f>(D535-C535)*1440</f>
        <v>110.00000000000009</v>
      </c>
      <c r="F535" s="112" t="s">
        <v>658</v>
      </c>
      <c r="G535" s="119" t="s">
        <v>999</v>
      </c>
      <c r="H535" s="119"/>
      <c r="I535" s="161"/>
    </row>
    <row r="536" spans="1:9" s="104" customFormat="1" x14ac:dyDescent="0.3">
      <c r="A536" s="101">
        <v>45867</v>
      </c>
      <c r="B536" s="101" t="s">
        <v>831</v>
      </c>
      <c r="C536" s="121">
        <v>0.86805555555555558</v>
      </c>
      <c r="D536" s="121">
        <v>0.875</v>
      </c>
      <c r="E536" s="150">
        <f>(D536-C536)*1440</f>
        <v>9.9999999999999645</v>
      </c>
      <c r="F536" s="112" t="s">
        <v>658</v>
      </c>
      <c r="G536" s="119" t="s">
        <v>761</v>
      </c>
      <c r="H536" s="119"/>
      <c r="I536" s="161"/>
    </row>
    <row r="537" spans="1:9" s="104" customFormat="1" x14ac:dyDescent="0.3">
      <c r="A537" s="108"/>
      <c r="B537" s="108"/>
      <c r="C537" s="108"/>
      <c r="D537" s="108"/>
      <c r="E537" s="108"/>
      <c r="F537" s="108"/>
      <c r="G537" s="108"/>
      <c r="H537" s="108"/>
      <c r="I537" s="108"/>
    </row>
    <row r="538" spans="1:9" s="104" customFormat="1" ht="26.4" x14ac:dyDescent="0.3">
      <c r="A538" s="163" t="s">
        <v>1</v>
      </c>
      <c r="B538" s="163" t="s">
        <v>2</v>
      </c>
      <c r="C538" s="169" t="s">
        <v>3</v>
      </c>
      <c r="D538" s="170"/>
      <c r="E538" s="163" t="s">
        <v>4</v>
      </c>
      <c r="F538" s="163" t="s">
        <v>5</v>
      </c>
      <c r="G538" s="163" t="s">
        <v>6</v>
      </c>
      <c r="H538" s="163" t="s">
        <v>7</v>
      </c>
      <c r="I538" s="163" t="s">
        <v>8</v>
      </c>
    </row>
    <row r="539" spans="1:9" s="104" customFormat="1" x14ac:dyDescent="0.3">
      <c r="A539" s="166"/>
      <c r="B539" s="166"/>
      <c r="C539" s="167" t="s">
        <v>9</v>
      </c>
      <c r="D539" s="167" t="s">
        <v>10</v>
      </c>
      <c r="E539" s="166"/>
      <c r="F539" s="168"/>
      <c r="G539" s="168"/>
      <c r="H539" s="168"/>
      <c r="I539" s="168"/>
    </row>
    <row r="540" spans="1:9" s="104" customFormat="1" x14ac:dyDescent="0.3">
      <c r="A540" s="101">
        <v>45868</v>
      </c>
      <c r="B540" s="101" t="s">
        <v>846</v>
      </c>
      <c r="C540" s="121">
        <v>0.41666666666666669</v>
      </c>
      <c r="D540" s="121">
        <v>0.42708333333333331</v>
      </c>
      <c r="E540" s="103">
        <f t="shared" ref="E540:E565" si="24">(D540-C540)*1440</f>
        <v>14.999999999999947</v>
      </c>
      <c r="F540" s="87" t="s">
        <v>658</v>
      </c>
      <c r="G540" s="122" t="s">
        <v>659</v>
      </c>
      <c r="H540" s="122"/>
      <c r="I540" s="87"/>
    </row>
    <row r="541" spans="1:9" s="104" customFormat="1" x14ac:dyDescent="0.3">
      <c r="A541" s="101">
        <v>45868</v>
      </c>
      <c r="B541" s="101" t="s">
        <v>846</v>
      </c>
      <c r="C541" s="121">
        <v>0.42708333333333331</v>
      </c>
      <c r="D541" s="121">
        <v>0.4375</v>
      </c>
      <c r="E541" s="103">
        <f t="shared" si="24"/>
        <v>15.000000000000027</v>
      </c>
      <c r="F541" s="87" t="s">
        <v>658</v>
      </c>
      <c r="G541" s="125" t="s">
        <v>905</v>
      </c>
      <c r="H541" s="122"/>
      <c r="I541" s="87"/>
    </row>
    <row r="542" spans="1:9" s="104" customFormat="1" x14ac:dyDescent="0.3">
      <c r="A542" s="101">
        <v>45868</v>
      </c>
      <c r="B542" s="101" t="s">
        <v>846</v>
      </c>
      <c r="C542" s="121">
        <v>0.4375</v>
      </c>
      <c r="D542" s="121">
        <v>0.44097222222222221</v>
      </c>
      <c r="E542" s="150">
        <f t="shared" si="24"/>
        <v>4.9999999999999822</v>
      </c>
      <c r="F542" s="112" t="s">
        <v>658</v>
      </c>
      <c r="G542" s="119" t="s">
        <v>1000</v>
      </c>
      <c r="H542" s="158"/>
      <c r="I542" s="112"/>
    </row>
    <row r="543" spans="1:9" s="104" customFormat="1" x14ac:dyDescent="0.3">
      <c r="A543" s="101">
        <v>45868</v>
      </c>
      <c r="B543" s="101" t="s">
        <v>846</v>
      </c>
      <c r="C543" s="121">
        <v>0.44097222222222221</v>
      </c>
      <c r="D543" s="121">
        <v>0.45833333333333331</v>
      </c>
      <c r="E543" s="150">
        <f t="shared" si="24"/>
        <v>24.999999999999993</v>
      </c>
      <c r="F543" s="112" t="s">
        <v>658</v>
      </c>
      <c r="G543" s="158" t="s">
        <v>1001</v>
      </c>
      <c r="H543" s="158"/>
      <c r="I543" s="112"/>
    </row>
    <row r="544" spans="1:9" s="104" customFormat="1" x14ac:dyDescent="0.3">
      <c r="A544" s="101">
        <v>45868</v>
      </c>
      <c r="B544" s="101" t="s">
        <v>846</v>
      </c>
      <c r="C544" s="121">
        <v>0.45833333333333331</v>
      </c>
      <c r="D544" s="121">
        <v>0.48958333333333331</v>
      </c>
      <c r="E544" s="150">
        <f t="shared" si="24"/>
        <v>45</v>
      </c>
      <c r="F544" s="112" t="s">
        <v>658</v>
      </c>
      <c r="G544" s="158" t="s">
        <v>1002</v>
      </c>
      <c r="H544" s="158"/>
      <c r="I544" s="112"/>
    </row>
    <row r="545" spans="1:9" s="104" customFormat="1" x14ac:dyDescent="0.3">
      <c r="A545" s="101">
        <v>45868</v>
      </c>
      <c r="B545" s="101" t="s">
        <v>846</v>
      </c>
      <c r="C545" s="121">
        <v>0.48958333333333331</v>
      </c>
      <c r="D545" s="121">
        <v>0.5</v>
      </c>
      <c r="E545" s="150">
        <f t="shared" si="24"/>
        <v>15.000000000000027</v>
      </c>
      <c r="F545" s="112" t="s">
        <v>658</v>
      </c>
      <c r="G545" s="160" t="s">
        <v>988</v>
      </c>
      <c r="H545" s="158"/>
      <c r="I545" s="112"/>
    </row>
    <row r="546" spans="1:9" s="104" customFormat="1" x14ac:dyDescent="0.3">
      <c r="A546" s="101">
        <v>45868</v>
      </c>
      <c r="B546" s="101" t="s">
        <v>846</v>
      </c>
      <c r="C546" s="121">
        <v>0.5</v>
      </c>
      <c r="D546" s="121">
        <v>0.54166666666666663</v>
      </c>
      <c r="E546" s="150">
        <f t="shared" si="24"/>
        <v>59.999999999999943</v>
      </c>
      <c r="F546" s="112" t="s">
        <v>658</v>
      </c>
      <c r="G546" s="120" t="s">
        <v>670</v>
      </c>
      <c r="H546" s="120"/>
      <c r="I546" s="112"/>
    </row>
    <row r="547" spans="1:9" s="104" customFormat="1" x14ac:dyDescent="0.3">
      <c r="A547" s="101">
        <v>45868</v>
      </c>
      <c r="B547" s="101" t="s">
        <v>846</v>
      </c>
      <c r="C547" s="121">
        <v>0.54166666666666663</v>
      </c>
      <c r="D547" s="121">
        <v>0.55902777777777779</v>
      </c>
      <c r="E547" s="150">
        <f t="shared" si="24"/>
        <v>25.000000000000071</v>
      </c>
      <c r="F547" s="112" t="s">
        <v>658</v>
      </c>
      <c r="G547" s="120" t="s">
        <v>1003</v>
      </c>
      <c r="H547" s="158"/>
      <c r="I547" s="112"/>
    </row>
    <row r="548" spans="1:9" s="104" customFormat="1" x14ac:dyDescent="0.3">
      <c r="A548" s="101">
        <v>45868</v>
      </c>
      <c r="B548" s="101" t="s">
        <v>846</v>
      </c>
      <c r="C548" s="121">
        <v>0.55902777777777779</v>
      </c>
      <c r="D548" s="121">
        <v>0.57291666666666663</v>
      </c>
      <c r="E548" s="150">
        <f t="shared" si="24"/>
        <v>19.999999999999929</v>
      </c>
      <c r="F548" s="112" t="s">
        <v>658</v>
      </c>
      <c r="G548" s="120" t="s">
        <v>1004</v>
      </c>
      <c r="H548" s="119"/>
      <c r="I548" s="112"/>
    </row>
    <row r="549" spans="1:9" s="104" customFormat="1" x14ac:dyDescent="0.3">
      <c r="A549" s="101">
        <v>45868</v>
      </c>
      <c r="B549" s="101" t="s">
        <v>846</v>
      </c>
      <c r="C549" s="121">
        <v>0.57291666666666663</v>
      </c>
      <c r="D549" s="121">
        <v>0.58333333333333337</v>
      </c>
      <c r="E549" s="150">
        <f t="shared" si="24"/>
        <v>15.000000000000107</v>
      </c>
      <c r="F549" s="112" t="s">
        <v>658</v>
      </c>
      <c r="G549" s="158" t="s">
        <v>980</v>
      </c>
      <c r="H549" s="119"/>
      <c r="I549" s="161"/>
    </row>
    <row r="550" spans="1:9" s="104" customFormat="1" x14ac:dyDescent="0.3">
      <c r="A550" s="101">
        <v>45868</v>
      </c>
      <c r="B550" s="101" t="s">
        <v>846</v>
      </c>
      <c r="C550" s="121">
        <v>0.58333333333333337</v>
      </c>
      <c r="D550" s="121">
        <v>0.59375</v>
      </c>
      <c r="E550" s="150">
        <f t="shared" si="24"/>
        <v>14.999999999999947</v>
      </c>
      <c r="F550" s="112" t="s">
        <v>658</v>
      </c>
      <c r="G550" s="158" t="s">
        <v>1005</v>
      </c>
      <c r="H550" s="119"/>
      <c r="I550" s="161"/>
    </row>
    <row r="551" spans="1:9" s="104" customFormat="1" x14ac:dyDescent="0.3">
      <c r="A551" s="101">
        <v>45868</v>
      </c>
      <c r="B551" s="101" t="s">
        <v>846</v>
      </c>
      <c r="C551" s="121">
        <v>0.625</v>
      </c>
      <c r="D551" s="121">
        <v>0.63194444444444442</v>
      </c>
      <c r="E551" s="150">
        <f t="shared" si="24"/>
        <v>9.9999999999999645</v>
      </c>
      <c r="F551" s="112" t="s">
        <v>658</v>
      </c>
      <c r="G551" s="119" t="s">
        <v>1006</v>
      </c>
      <c r="H551" s="119"/>
      <c r="I551" s="161"/>
    </row>
    <row r="552" spans="1:9" s="104" customFormat="1" x14ac:dyDescent="0.3">
      <c r="A552" s="101">
        <v>45868</v>
      </c>
      <c r="B552" s="101" t="s">
        <v>846</v>
      </c>
      <c r="C552" s="121">
        <v>0.63194444444444442</v>
      </c>
      <c r="D552" s="121">
        <v>0.65625</v>
      </c>
      <c r="E552" s="150">
        <f t="shared" si="24"/>
        <v>35.000000000000036</v>
      </c>
      <c r="F552" s="112" t="s">
        <v>658</v>
      </c>
      <c r="G552" s="119" t="s">
        <v>1007</v>
      </c>
      <c r="H552" s="119"/>
      <c r="I552" s="161"/>
    </row>
    <row r="553" spans="1:9" s="104" customFormat="1" x14ac:dyDescent="0.3">
      <c r="A553" s="101">
        <v>45868</v>
      </c>
      <c r="B553" s="101" t="s">
        <v>846</v>
      </c>
      <c r="C553" s="121">
        <v>0.65625</v>
      </c>
      <c r="D553" s="121">
        <v>0.66666666666666663</v>
      </c>
      <c r="E553" s="150">
        <f t="shared" si="24"/>
        <v>14.999999999999947</v>
      </c>
      <c r="F553" s="112" t="s">
        <v>658</v>
      </c>
      <c r="G553" s="119" t="s">
        <v>994</v>
      </c>
      <c r="H553" s="119"/>
      <c r="I553" s="161"/>
    </row>
    <row r="554" spans="1:9" s="104" customFormat="1" x14ac:dyDescent="0.3">
      <c r="A554" s="101">
        <v>45868</v>
      </c>
      <c r="B554" s="101" t="s">
        <v>846</v>
      </c>
      <c r="C554" s="121">
        <v>0.66666666666666663</v>
      </c>
      <c r="D554" s="121">
        <v>0.67708333333333337</v>
      </c>
      <c r="E554" s="150">
        <f t="shared" si="24"/>
        <v>15.000000000000107</v>
      </c>
      <c r="F554" s="112" t="s">
        <v>658</v>
      </c>
      <c r="G554" s="119" t="s">
        <v>1008</v>
      </c>
      <c r="H554" s="119"/>
      <c r="I554" s="161"/>
    </row>
    <row r="555" spans="1:9" s="104" customFormat="1" x14ac:dyDescent="0.3">
      <c r="A555" s="101">
        <v>45868</v>
      </c>
      <c r="B555" s="101" t="s">
        <v>846</v>
      </c>
      <c r="C555" s="121">
        <v>0.67708333333333337</v>
      </c>
      <c r="D555" s="121">
        <v>0.69791666666666663</v>
      </c>
      <c r="E555" s="150">
        <f t="shared" si="24"/>
        <v>29.999999999999893</v>
      </c>
      <c r="F555" s="112" t="s">
        <v>658</v>
      </c>
      <c r="G555" s="119" t="s">
        <v>1009</v>
      </c>
      <c r="H555" s="119"/>
      <c r="I555" s="161"/>
    </row>
    <row r="556" spans="1:9" s="104" customFormat="1" x14ac:dyDescent="0.3">
      <c r="A556" s="101">
        <v>45868</v>
      </c>
      <c r="B556" s="101" t="s">
        <v>846</v>
      </c>
      <c r="C556" s="121">
        <v>0.69791666666666663</v>
      </c>
      <c r="D556" s="121">
        <v>0.72916666666666663</v>
      </c>
      <c r="E556" s="150">
        <f t="shared" si="24"/>
        <v>45</v>
      </c>
      <c r="F556" s="112" t="s">
        <v>658</v>
      </c>
      <c r="G556" s="119" t="s">
        <v>1010</v>
      </c>
      <c r="H556" s="119"/>
      <c r="I556" s="161"/>
    </row>
    <row r="557" spans="1:9" s="104" customFormat="1" x14ac:dyDescent="0.3">
      <c r="A557" s="101">
        <v>45868</v>
      </c>
      <c r="B557" s="101" t="s">
        <v>846</v>
      </c>
      <c r="C557" s="121">
        <v>0.72916666666666663</v>
      </c>
      <c r="D557" s="121">
        <v>0.75</v>
      </c>
      <c r="E557" s="150">
        <f t="shared" si="24"/>
        <v>30.000000000000053</v>
      </c>
      <c r="F557" s="112" t="s">
        <v>658</v>
      </c>
      <c r="G557" s="119" t="s">
        <v>1011</v>
      </c>
      <c r="H557" s="119"/>
      <c r="I557" s="161"/>
    </row>
    <row r="558" spans="1:9" s="104" customFormat="1" x14ac:dyDescent="0.3">
      <c r="A558" s="101">
        <v>45868</v>
      </c>
      <c r="B558" s="101" t="s">
        <v>846</v>
      </c>
      <c r="C558" s="121">
        <v>0.75</v>
      </c>
      <c r="D558" s="121">
        <v>0.77083333333333337</v>
      </c>
      <c r="E558" s="150">
        <f t="shared" si="24"/>
        <v>30.000000000000053</v>
      </c>
      <c r="F558" s="112" t="s">
        <v>658</v>
      </c>
      <c r="G558" s="119" t="s">
        <v>1012</v>
      </c>
      <c r="H558" s="119"/>
      <c r="I558" s="161"/>
    </row>
    <row r="559" spans="1:9" s="104" customFormat="1" x14ac:dyDescent="0.3">
      <c r="A559" s="171">
        <v>45868</v>
      </c>
      <c r="B559" s="171" t="s">
        <v>846</v>
      </c>
      <c r="C559" s="121">
        <v>0.77083333333333337</v>
      </c>
      <c r="D559" s="121">
        <v>0.8125</v>
      </c>
      <c r="E559" s="172">
        <f t="shared" si="24"/>
        <v>59.999999999999943</v>
      </c>
      <c r="F559" s="173" t="s">
        <v>658</v>
      </c>
      <c r="G559" s="114" t="s">
        <v>1013</v>
      </c>
      <c r="H559" s="114"/>
      <c r="I559" s="109"/>
    </row>
    <row r="560" spans="1:9" s="104" customFormat="1" x14ac:dyDescent="0.3">
      <c r="A560" s="171">
        <v>45868</v>
      </c>
      <c r="B560" s="171" t="s">
        <v>846</v>
      </c>
      <c r="C560" s="121">
        <v>0.8125</v>
      </c>
      <c r="D560" s="121">
        <v>0.85416666666666663</v>
      </c>
      <c r="E560" s="172">
        <f t="shared" si="24"/>
        <v>59.999999999999943</v>
      </c>
      <c r="F560" s="173" t="s">
        <v>658</v>
      </c>
      <c r="G560" s="152" t="s">
        <v>1014</v>
      </c>
      <c r="H560" s="152"/>
      <c r="I560" s="174"/>
    </row>
    <row r="561" spans="1:9" s="104" customFormat="1" x14ac:dyDescent="0.3">
      <c r="A561" s="171">
        <v>45868</v>
      </c>
      <c r="B561" s="171" t="s">
        <v>846</v>
      </c>
      <c r="C561" s="121">
        <v>0.85416666666666663</v>
      </c>
      <c r="D561" s="121">
        <v>0.875</v>
      </c>
      <c r="E561" s="172">
        <f t="shared" si="24"/>
        <v>30.000000000000053</v>
      </c>
      <c r="F561" s="173" t="s">
        <v>658</v>
      </c>
      <c r="G561" s="152" t="s">
        <v>1015</v>
      </c>
      <c r="H561" s="152"/>
      <c r="I561" s="174"/>
    </row>
    <row r="562" spans="1:9" s="104" customFormat="1" x14ac:dyDescent="0.3">
      <c r="A562" s="171">
        <v>45868</v>
      </c>
      <c r="B562" s="171" t="s">
        <v>846</v>
      </c>
      <c r="C562" s="121">
        <v>0.875</v>
      </c>
      <c r="D562" s="121">
        <v>0.91666666666666663</v>
      </c>
      <c r="E562" s="172">
        <f t="shared" si="24"/>
        <v>59.999999999999943</v>
      </c>
      <c r="F562" s="173" t="s">
        <v>658</v>
      </c>
      <c r="G562" s="152" t="s">
        <v>1016</v>
      </c>
      <c r="H562" s="152"/>
      <c r="I562" s="174"/>
    </row>
    <row r="563" spans="1:9" s="104" customFormat="1" x14ac:dyDescent="0.3">
      <c r="A563" s="171">
        <v>45868</v>
      </c>
      <c r="B563" s="171" t="s">
        <v>846</v>
      </c>
      <c r="C563" s="121">
        <v>0.91666666666666663</v>
      </c>
      <c r="D563" s="121">
        <v>0.92708333333333337</v>
      </c>
      <c r="E563" s="172">
        <f t="shared" si="24"/>
        <v>15.000000000000107</v>
      </c>
      <c r="F563" s="173" t="s">
        <v>658</v>
      </c>
      <c r="G563" s="152" t="s">
        <v>1017</v>
      </c>
      <c r="H563" s="152"/>
      <c r="I563" s="174"/>
    </row>
    <row r="564" spans="1:9" s="104" customFormat="1" x14ac:dyDescent="0.3">
      <c r="A564" s="171">
        <v>45868</v>
      </c>
      <c r="B564" s="171" t="s">
        <v>846</v>
      </c>
      <c r="C564" s="121">
        <v>0.92708333333333337</v>
      </c>
      <c r="D564" s="121">
        <v>0.94791666666666663</v>
      </c>
      <c r="E564" s="172">
        <f t="shared" si="24"/>
        <v>29.999999999999893</v>
      </c>
      <c r="F564" s="173" t="s">
        <v>658</v>
      </c>
      <c r="G564" s="152" t="s">
        <v>971</v>
      </c>
      <c r="H564" s="152"/>
      <c r="I564" s="174"/>
    </row>
    <row r="565" spans="1:9" s="104" customFormat="1" x14ac:dyDescent="0.3">
      <c r="A565" s="171">
        <v>45868</v>
      </c>
      <c r="B565" s="171" t="s">
        <v>846</v>
      </c>
      <c r="C565" s="121">
        <v>0.94791666666666663</v>
      </c>
      <c r="D565" s="121">
        <v>0.95833333333333337</v>
      </c>
      <c r="E565" s="172">
        <f t="shared" si="24"/>
        <v>15.000000000000107</v>
      </c>
      <c r="F565" s="173" t="s">
        <v>658</v>
      </c>
      <c r="G565" s="152" t="s">
        <v>1018</v>
      </c>
      <c r="H565" s="152"/>
      <c r="I565" s="174"/>
    </row>
    <row r="566" spans="1:9" s="104" customFormat="1" x14ac:dyDescent="0.3">
      <c r="A566" s="108"/>
      <c r="B566" s="108"/>
      <c r="C566" s="108"/>
      <c r="D566" s="108"/>
      <c r="E566" s="108"/>
      <c r="F566" s="108"/>
      <c r="G566" s="108"/>
      <c r="H566" s="108"/>
      <c r="I566" s="108"/>
    </row>
    <row r="567" spans="1:9" s="104" customFormat="1" ht="26.4" x14ac:dyDescent="0.3">
      <c r="A567" s="163" t="s">
        <v>1</v>
      </c>
      <c r="B567" s="163" t="s">
        <v>2</v>
      </c>
      <c r="C567" s="169" t="s">
        <v>3</v>
      </c>
      <c r="D567" s="170"/>
      <c r="E567" s="163" t="s">
        <v>4</v>
      </c>
      <c r="F567" s="163" t="s">
        <v>5</v>
      </c>
      <c r="G567" s="163" t="s">
        <v>6</v>
      </c>
      <c r="H567" s="163" t="s">
        <v>7</v>
      </c>
      <c r="I567" s="163" t="s">
        <v>8</v>
      </c>
    </row>
    <row r="568" spans="1:9" s="104" customFormat="1" x14ac:dyDescent="0.3">
      <c r="A568" s="166"/>
      <c r="B568" s="166"/>
      <c r="C568" s="167" t="s">
        <v>9</v>
      </c>
      <c r="D568" s="167" t="s">
        <v>10</v>
      </c>
      <c r="E568" s="166"/>
      <c r="F568" s="168"/>
      <c r="G568" s="168"/>
      <c r="H568" s="168"/>
      <c r="I568" s="168"/>
    </row>
    <row r="569" spans="1:9" s="104" customFormat="1" ht="24.75" customHeight="1" x14ac:dyDescent="0.3">
      <c r="A569" s="101">
        <v>45869</v>
      </c>
      <c r="B569" s="101" t="s">
        <v>860</v>
      </c>
      <c r="C569" s="121">
        <v>0.41666666666666669</v>
      </c>
      <c r="D569" s="121">
        <v>0.42708333333333331</v>
      </c>
      <c r="E569" s="103">
        <f t="shared" ref="E569:E588" si="25">(D569-C569)*1440</f>
        <v>14.999999999999947</v>
      </c>
      <c r="F569" s="87" t="s">
        <v>658</v>
      </c>
      <c r="G569" s="122" t="s">
        <v>659</v>
      </c>
      <c r="H569" s="122"/>
      <c r="I569" s="87"/>
    </row>
    <row r="570" spans="1:9" s="104" customFormat="1" x14ac:dyDescent="0.3">
      <c r="A570" s="101">
        <v>45869</v>
      </c>
      <c r="B570" s="101" t="s">
        <v>860</v>
      </c>
      <c r="C570" s="121">
        <v>0.42708333333333331</v>
      </c>
      <c r="D570" s="121">
        <v>0.4548611111111111</v>
      </c>
      <c r="E570" s="103">
        <f t="shared" si="25"/>
        <v>40.000000000000014</v>
      </c>
      <c r="F570" s="87" t="s">
        <v>658</v>
      </c>
      <c r="G570" s="125" t="s">
        <v>1019</v>
      </c>
      <c r="H570" s="122"/>
      <c r="I570" s="87"/>
    </row>
    <row r="571" spans="1:9" s="104" customFormat="1" x14ac:dyDescent="0.3">
      <c r="A571" s="101">
        <v>45869</v>
      </c>
      <c r="B571" s="101" t="s">
        <v>860</v>
      </c>
      <c r="C571" s="121">
        <v>0.4548611111111111</v>
      </c>
      <c r="D571" s="121">
        <v>0.46875</v>
      </c>
      <c r="E571" s="150">
        <f t="shared" si="25"/>
        <v>20.000000000000007</v>
      </c>
      <c r="F571" s="112" t="s">
        <v>658</v>
      </c>
      <c r="G571" s="125" t="s">
        <v>1020</v>
      </c>
      <c r="H571" s="158"/>
      <c r="I571" s="112"/>
    </row>
    <row r="572" spans="1:9" s="104" customFormat="1" ht="24.75" customHeight="1" x14ac:dyDescent="0.3">
      <c r="A572" s="101">
        <v>45869</v>
      </c>
      <c r="B572" s="101" t="s">
        <v>860</v>
      </c>
      <c r="C572" s="121">
        <v>0.46875</v>
      </c>
      <c r="D572" s="121">
        <v>0.5</v>
      </c>
      <c r="E572" s="150">
        <f t="shared" si="25"/>
        <v>45</v>
      </c>
      <c r="F572" s="112" t="s">
        <v>658</v>
      </c>
      <c r="G572" s="158" t="s">
        <v>838</v>
      </c>
      <c r="H572" s="158"/>
      <c r="I572" s="112"/>
    </row>
    <row r="573" spans="1:9" s="104" customFormat="1" x14ac:dyDescent="0.3">
      <c r="A573" s="101">
        <v>45869</v>
      </c>
      <c r="B573" s="101" t="s">
        <v>860</v>
      </c>
      <c r="C573" s="121">
        <v>0.5</v>
      </c>
      <c r="D573" s="121">
        <v>0.54166666666666663</v>
      </c>
      <c r="E573" s="150">
        <f t="shared" si="25"/>
        <v>59.999999999999943</v>
      </c>
      <c r="F573" s="112" t="s">
        <v>658</v>
      </c>
      <c r="G573" s="158" t="s">
        <v>670</v>
      </c>
      <c r="H573" s="158"/>
      <c r="I573" s="112"/>
    </row>
    <row r="574" spans="1:9" s="104" customFormat="1" ht="57.75" customHeight="1" x14ac:dyDescent="0.3">
      <c r="A574" s="101">
        <v>45869</v>
      </c>
      <c r="B574" s="101" t="s">
        <v>860</v>
      </c>
      <c r="C574" s="121">
        <v>0.54166666666666663</v>
      </c>
      <c r="D574" s="121">
        <v>0.56597222222222221</v>
      </c>
      <c r="E574" s="150">
        <f t="shared" si="25"/>
        <v>35.000000000000036</v>
      </c>
      <c r="F574" s="112" t="s">
        <v>658</v>
      </c>
      <c r="G574" s="175" t="s">
        <v>1021</v>
      </c>
      <c r="H574" s="158"/>
      <c r="I574" s="112"/>
    </row>
    <row r="575" spans="1:9" s="104" customFormat="1" x14ac:dyDescent="0.3">
      <c r="A575" s="101">
        <v>45869</v>
      </c>
      <c r="B575" s="101" t="s">
        <v>860</v>
      </c>
      <c r="C575" s="121">
        <v>0.56597222222222221</v>
      </c>
      <c r="D575" s="121">
        <v>0.60069444444444442</v>
      </c>
      <c r="E575" s="150">
        <f t="shared" si="25"/>
        <v>49.999999999999986</v>
      </c>
      <c r="F575" s="112" t="s">
        <v>658</v>
      </c>
      <c r="G575" s="120" t="s">
        <v>1022</v>
      </c>
      <c r="H575" s="120"/>
      <c r="I575" s="112"/>
    </row>
    <row r="576" spans="1:9" s="104" customFormat="1" x14ac:dyDescent="0.3">
      <c r="A576" s="101">
        <v>45869</v>
      </c>
      <c r="B576" s="101" t="s">
        <v>860</v>
      </c>
      <c r="C576" s="121">
        <v>0.60069444444444442</v>
      </c>
      <c r="D576" s="121">
        <v>0.625</v>
      </c>
      <c r="E576" s="150">
        <f t="shared" si="25"/>
        <v>35.000000000000036</v>
      </c>
      <c r="F576" s="112" t="s">
        <v>658</v>
      </c>
      <c r="G576" s="120" t="s">
        <v>1023</v>
      </c>
      <c r="H576" s="158"/>
      <c r="I576" s="112"/>
    </row>
    <row r="577" spans="1:12" s="104" customFormat="1" x14ac:dyDescent="0.3">
      <c r="A577" s="101">
        <v>45869</v>
      </c>
      <c r="B577" s="101" t="s">
        <v>860</v>
      </c>
      <c r="C577" s="121">
        <v>0.625</v>
      </c>
      <c r="D577" s="121">
        <v>0.63541666666666663</v>
      </c>
      <c r="E577" s="150">
        <f t="shared" si="25"/>
        <v>14.999999999999947</v>
      </c>
      <c r="F577" s="112" t="s">
        <v>658</v>
      </c>
      <c r="G577" s="120" t="s">
        <v>1024</v>
      </c>
      <c r="H577" s="119"/>
      <c r="I577" s="112"/>
    </row>
    <row r="578" spans="1:12" s="104" customFormat="1" ht="24.75" customHeight="1" x14ac:dyDescent="0.3">
      <c r="A578" s="101">
        <v>45869</v>
      </c>
      <c r="B578" s="101" t="s">
        <v>860</v>
      </c>
      <c r="C578" s="121">
        <v>0.64583333333333337</v>
      </c>
      <c r="D578" s="121">
        <v>0.64930555555555558</v>
      </c>
      <c r="E578" s="150">
        <f t="shared" si="25"/>
        <v>4.9999999999999822</v>
      </c>
      <c r="F578" s="112" t="s">
        <v>658</v>
      </c>
      <c r="G578" s="158" t="s">
        <v>1006</v>
      </c>
      <c r="H578" s="119"/>
      <c r="I578" s="161"/>
    </row>
    <row r="579" spans="1:12" s="104" customFormat="1" x14ac:dyDescent="0.3">
      <c r="A579" s="101">
        <v>45869</v>
      </c>
      <c r="B579" s="101" t="s">
        <v>860</v>
      </c>
      <c r="C579" s="121">
        <v>0.64930555555555558</v>
      </c>
      <c r="D579" s="121">
        <v>0.66319444444444442</v>
      </c>
      <c r="E579" s="150">
        <f t="shared" si="25"/>
        <v>19.999999999999929</v>
      </c>
      <c r="F579" s="112" t="s">
        <v>658</v>
      </c>
      <c r="G579" s="158" t="s">
        <v>1025</v>
      </c>
      <c r="H579" s="119"/>
      <c r="I579" s="161"/>
    </row>
    <row r="580" spans="1:12" s="104" customFormat="1" x14ac:dyDescent="0.3">
      <c r="A580" s="101">
        <v>45869</v>
      </c>
      <c r="B580" s="101" t="s">
        <v>860</v>
      </c>
      <c r="C580" s="149"/>
      <c r="D580" s="149"/>
      <c r="E580" s="150">
        <f t="shared" si="25"/>
        <v>0</v>
      </c>
      <c r="F580" s="112" t="s">
        <v>658</v>
      </c>
      <c r="G580" s="119"/>
      <c r="H580" s="119"/>
      <c r="I580" s="161"/>
    </row>
    <row r="581" spans="1:12" s="104" customFormat="1" x14ac:dyDescent="0.3">
      <c r="A581" s="101">
        <v>45869</v>
      </c>
      <c r="B581" s="101" t="s">
        <v>860</v>
      </c>
      <c r="C581" s="149"/>
      <c r="D581" s="149"/>
      <c r="E581" s="150">
        <f t="shared" si="25"/>
        <v>0</v>
      </c>
      <c r="F581" s="112" t="s">
        <v>658</v>
      </c>
      <c r="G581" s="119"/>
      <c r="H581" s="119"/>
      <c r="I581" s="161"/>
    </row>
    <row r="582" spans="1:12" s="104" customFormat="1" x14ac:dyDescent="0.3">
      <c r="A582" s="101">
        <v>45869</v>
      </c>
      <c r="B582" s="101" t="s">
        <v>860</v>
      </c>
      <c r="C582" s="149"/>
      <c r="D582" s="149"/>
      <c r="E582" s="150">
        <f t="shared" si="25"/>
        <v>0</v>
      </c>
      <c r="F582" s="112" t="s">
        <v>658</v>
      </c>
      <c r="G582" s="119"/>
      <c r="H582" s="119"/>
      <c r="I582" s="161"/>
    </row>
    <row r="583" spans="1:12" s="104" customFormat="1" x14ac:dyDescent="0.3">
      <c r="A583" s="101">
        <v>45869</v>
      </c>
      <c r="B583" s="101" t="s">
        <v>860</v>
      </c>
      <c r="C583" s="149"/>
      <c r="D583" s="149"/>
      <c r="E583" s="150">
        <f t="shared" si="25"/>
        <v>0</v>
      </c>
      <c r="F583" s="112" t="s">
        <v>658</v>
      </c>
      <c r="G583" s="119"/>
      <c r="H583" s="119"/>
      <c r="I583" s="161"/>
    </row>
    <row r="584" spans="1:12" s="104" customFormat="1" x14ac:dyDescent="0.3">
      <c r="A584" s="101">
        <v>45869</v>
      </c>
      <c r="B584" s="101" t="s">
        <v>860</v>
      </c>
      <c r="C584" s="149"/>
      <c r="D584" s="149"/>
      <c r="E584" s="150">
        <f t="shared" si="25"/>
        <v>0</v>
      </c>
      <c r="F584" s="112" t="s">
        <v>658</v>
      </c>
      <c r="G584" s="119"/>
      <c r="H584" s="119"/>
      <c r="I584" s="161"/>
    </row>
    <row r="585" spans="1:12" s="104" customFormat="1" x14ac:dyDescent="0.3">
      <c r="A585" s="101">
        <v>45869</v>
      </c>
      <c r="B585" s="101" t="s">
        <v>860</v>
      </c>
      <c r="C585" s="149"/>
      <c r="D585" s="149"/>
      <c r="E585" s="150">
        <f t="shared" si="25"/>
        <v>0</v>
      </c>
      <c r="F585" s="112" t="s">
        <v>658</v>
      </c>
      <c r="G585" s="119"/>
      <c r="H585" s="119"/>
      <c r="I585" s="161"/>
    </row>
    <row r="586" spans="1:12" s="104" customFormat="1" ht="24.75" customHeight="1" x14ac:dyDescent="0.3">
      <c r="A586" s="101">
        <v>45869</v>
      </c>
      <c r="B586" s="101" t="s">
        <v>860</v>
      </c>
      <c r="C586" s="149"/>
      <c r="D586" s="149"/>
      <c r="E586" s="150">
        <f t="shared" si="25"/>
        <v>0</v>
      </c>
      <c r="F586" s="112" t="s">
        <v>658</v>
      </c>
      <c r="G586" s="119"/>
      <c r="H586" s="119"/>
      <c r="I586" s="161"/>
    </row>
    <row r="587" spans="1:12" s="104" customFormat="1" x14ac:dyDescent="0.3">
      <c r="A587" s="101">
        <v>45869</v>
      </c>
      <c r="B587" s="101" t="s">
        <v>860</v>
      </c>
      <c r="C587" s="149"/>
      <c r="D587" s="149"/>
      <c r="E587" s="150">
        <f t="shared" si="25"/>
        <v>0</v>
      </c>
      <c r="F587" s="112" t="s">
        <v>658</v>
      </c>
      <c r="G587" s="119"/>
      <c r="H587" s="119"/>
      <c r="I587" s="161"/>
    </row>
    <row r="588" spans="1:12" s="104" customFormat="1" x14ac:dyDescent="0.3">
      <c r="A588" s="101">
        <v>45869</v>
      </c>
      <c r="B588" s="101" t="s">
        <v>860</v>
      </c>
      <c r="C588" s="149"/>
      <c r="D588" s="149"/>
      <c r="E588" s="150">
        <f t="shared" si="25"/>
        <v>0</v>
      </c>
      <c r="F588" s="112" t="s">
        <v>658</v>
      </c>
      <c r="G588" s="119"/>
      <c r="H588" s="119"/>
      <c r="I588" s="161"/>
    </row>
    <row r="589" spans="1:12" s="104" customFormat="1" x14ac:dyDescent="0.3">
      <c r="A589" s="176"/>
      <c r="B589" s="176"/>
      <c r="C589" s="176"/>
      <c r="D589" s="176"/>
      <c r="E589" s="176"/>
      <c r="F589" s="176"/>
      <c r="G589" s="176"/>
      <c r="H589" s="176"/>
      <c r="I589" s="176"/>
      <c r="J589" s="176"/>
      <c r="K589" s="176"/>
      <c r="L589" s="176"/>
    </row>
    <row r="590" spans="1:12" s="104" customFormat="1" x14ac:dyDescent="0.3"/>
    <row r="591" spans="1:12" s="104" customFormat="1" x14ac:dyDescent="0.3">
      <c r="A591" s="177"/>
      <c r="B591" s="177"/>
      <c r="C591" s="177"/>
      <c r="D591" s="177"/>
      <c r="E591" s="177"/>
      <c r="F591" s="177"/>
      <c r="G591" s="177"/>
      <c r="H591" s="177"/>
    </row>
    <row r="592" spans="1:12" s="104" customFormat="1" ht="15.6" x14ac:dyDescent="0.3">
      <c r="A592" s="178" t="s">
        <v>1</v>
      </c>
      <c r="B592" s="178" t="s">
        <v>2</v>
      </c>
      <c r="C592" s="178" t="s">
        <v>3</v>
      </c>
      <c r="D592" s="178"/>
      <c r="E592" s="178" t="s">
        <v>4</v>
      </c>
      <c r="F592" s="178" t="s">
        <v>5</v>
      </c>
      <c r="G592" s="178" t="s">
        <v>6</v>
      </c>
      <c r="H592" s="178" t="s">
        <v>7</v>
      </c>
    </row>
    <row r="593" spans="1:8" s="104" customFormat="1" ht="15.6" x14ac:dyDescent="0.3">
      <c r="A593" s="178"/>
      <c r="B593" s="178"/>
      <c r="C593" s="179" t="s">
        <v>9</v>
      </c>
      <c r="D593" s="179" t="s">
        <v>10</v>
      </c>
      <c r="E593" s="178"/>
      <c r="F593" s="178"/>
      <c r="G593" s="178"/>
      <c r="H593" s="178"/>
    </row>
    <row r="594" spans="1:8" s="104" customFormat="1" ht="16.5" customHeight="1" x14ac:dyDescent="0.3">
      <c r="A594" s="180">
        <v>46282</v>
      </c>
      <c r="B594" s="179" t="s">
        <v>91</v>
      </c>
      <c r="C594" s="181">
        <v>0.8125</v>
      </c>
      <c r="D594" s="181">
        <v>0.83333333333333337</v>
      </c>
      <c r="E594" s="182">
        <f>D594-C594</f>
        <v>2.083333333333337E-2</v>
      </c>
      <c r="F594" s="179" t="s">
        <v>658</v>
      </c>
      <c r="G594" s="183" t="s">
        <v>1026</v>
      </c>
      <c r="H594" s="179"/>
    </row>
    <row r="595" spans="1:8" s="104" customFormat="1" ht="16.5" customHeight="1" x14ac:dyDescent="0.3">
      <c r="A595" s="180">
        <v>46282</v>
      </c>
      <c r="B595" s="179" t="s">
        <v>91</v>
      </c>
      <c r="C595" s="181">
        <v>0.83333333333333337</v>
      </c>
      <c r="D595" s="181">
        <v>0.89027777777777772</v>
      </c>
      <c r="E595" s="182">
        <f t="shared" ref="E595:E598" si="26">D595-C595</f>
        <v>5.6944444444444353E-2</v>
      </c>
      <c r="F595" s="179" t="s">
        <v>658</v>
      </c>
      <c r="G595" s="184" t="s">
        <v>1027</v>
      </c>
      <c r="H595" s="179"/>
    </row>
    <row r="596" spans="1:8" s="104" customFormat="1" ht="16.5" customHeight="1" x14ac:dyDescent="0.3">
      <c r="A596" s="180">
        <v>46282</v>
      </c>
      <c r="B596" s="179" t="s">
        <v>91</v>
      </c>
      <c r="C596" s="181">
        <v>0.89027777777777772</v>
      </c>
      <c r="D596" s="181">
        <v>0.93541666666666667</v>
      </c>
      <c r="E596" s="182">
        <f t="shared" si="26"/>
        <v>4.5138888888888951E-2</v>
      </c>
      <c r="F596" s="179" t="s">
        <v>658</v>
      </c>
      <c r="G596" s="184" t="s">
        <v>1028</v>
      </c>
      <c r="H596" s="179"/>
    </row>
    <row r="597" spans="1:8" s="104" customFormat="1" ht="16.5" customHeight="1" x14ac:dyDescent="0.3">
      <c r="A597" s="180">
        <v>46282</v>
      </c>
      <c r="B597" s="179" t="s">
        <v>91</v>
      </c>
      <c r="C597" s="181">
        <v>0.93541666666666667</v>
      </c>
      <c r="D597" s="181">
        <v>0.94791666666666663</v>
      </c>
      <c r="E597" s="182">
        <f t="shared" si="26"/>
        <v>1.2499999999999956E-2</v>
      </c>
      <c r="F597" s="179" t="s">
        <v>658</v>
      </c>
      <c r="G597" s="184" t="s">
        <v>1029</v>
      </c>
      <c r="H597" s="179"/>
    </row>
    <row r="598" spans="1:8" s="104" customFormat="1" ht="16.5" customHeight="1" x14ac:dyDescent="0.3">
      <c r="A598" s="180">
        <v>46282</v>
      </c>
      <c r="B598" s="179" t="s">
        <v>91</v>
      </c>
      <c r="C598" s="181">
        <v>0.94791666666666663</v>
      </c>
      <c r="D598" s="181">
        <v>0.96388888888888891</v>
      </c>
      <c r="E598" s="182">
        <f t="shared" si="26"/>
        <v>1.5972222222222276E-2</v>
      </c>
      <c r="F598" s="179" t="s">
        <v>658</v>
      </c>
      <c r="G598" s="184" t="s">
        <v>1030</v>
      </c>
      <c r="H598" s="179"/>
    </row>
    <row r="599" spans="1:8" s="104" customFormat="1" ht="16.5" customHeight="1" x14ac:dyDescent="0.3">
      <c r="A599" s="180">
        <v>46282</v>
      </c>
      <c r="B599" s="179" t="s">
        <v>91</v>
      </c>
      <c r="C599" s="181">
        <v>0.96388888888888891</v>
      </c>
      <c r="D599" s="181">
        <v>0.97499999999999998</v>
      </c>
      <c r="E599" s="182">
        <f>D599-C599</f>
        <v>1.1111111111111072E-2</v>
      </c>
      <c r="F599" s="179" t="s">
        <v>658</v>
      </c>
      <c r="G599" s="184" t="s">
        <v>1031</v>
      </c>
      <c r="H599" s="179"/>
    </row>
    <row r="600" spans="1:8" s="104" customFormat="1" ht="16.5" customHeight="1" x14ac:dyDescent="0.3">
      <c r="A600" s="180">
        <v>46282</v>
      </c>
      <c r="B600" s="179" t="s">
        <v>91</v>
      </c>
      <c r="C600" s="181">
        <v>0.97499999999999998</v>
      </c>
      <c r="D600" s="181">
        <v>0.98124999999999996</v>
      </c>
      <c r="E600" s="182">
        <f t="shared" ref="E600:E621" si="27">D600-C600</f>
        <v>6.2499999999999778E-3</v>
      </c>
      <c r="F600" s="179" t="s">
        <v>658</v>
      </c>
      <c r="G600" s="184" t="s">
        <v>1032</v>
      </c>
      <c r="H600" s="179"/>
    </row>
    <row r="601" spans="1:8" s="104" customFormat="1" ht="16.5" customHeight="1" x14ac:dyDescent="0.3">
      <c r="A601" s="180">
        <v>46282</v>
      </c>
      <c r="B601" s="179" t="s">
        <v>91</v>
      </c>
      <c r="C601" s="181">
        <v>0.98124999999999996</v>
      </c>
      <c r="D601" s="181">
        <v>0.9916666666666667</v>
      </c>
      <c r="E601" s="182">
        <f t="shared" si="27"/>
        <v>1.0416666666666741E-2</v>
      </c>
      <c r="F601" s="179" t="s">
        <v>658</v>
      </c>
      <c r="G601" s="184" t="s">
        <v>1033</v>
      </c>
      <c r="H601" s="179"/>
    </row>
    <row r="602" spans="1:8" s="104" customFormat="1" ht="16.5" customHeight="1" x14ac:dyDescent="0.3">
      <c r="A602" s="180">
        <v>46282</v>
      </c>
      <c r="B602" s="179" t="s">
        <v>91</v>
      </c>
      <c r="C602" s="181">
        <v>0.9916666666666667</v>
      </c>
      <c r="D602" s="181">
        <v>0.99652777777777779</v>
      </c>
      <c r="E602" s="182">
        <f t="shared" si="27"/>
        <v>4.8611111111110938E-3</v>
      </c>
      <c r="F602" s="179" t="s">
        <v>658</v>
      </c>
      <c r="G602" s="184" t="s">
        <v>1034</v>
      </c>
      <c r="H602" s="179"/>
    </row>
    <row r="603" spans="1:8" s="104" customFormat="1" ht="16.5" customHeight="1" x14ac:dyDescent="0.3">
      <c r="A603" s="180">
        <v>46282</v>
      </c>
      <c r="B603" s="179" t="s">
        <v>91</v>
      </c>
      <c r="C603" s="181">
        <v>0.99652777777777779</v>
      </c>
      <c r="D603" s="185">
        <v>1</v>
      </c>
      <c r="E603" s="182">
        <f t="shared" si="27"/>
        <v>3.4722222222222099E-3</v>
      </c>
      <c r="F603" s="179" t="s">
        <v>658</v>
      </c>
      <c r="G603" s="184" t="s">
        <v>1035</v>
      </c>
      <c r="H603" s="186"/>
    </row>
    <row r="604" spans="1:8" s="104" customFormat="1" ht="16.5" customHeight="1" x14ac:dyDescent="0.3">
      <c r="A604" s="180">
        <v>46283</v>
      </c>
      <c r="B604" s="179" t="s">
        <v>91</v>
      </c>
      <c r="C604" s="187">
        <v>0</v>
      </c>
      <c r="D604" s="187">
        <v>4.1666666666666664E-2</v>
      </c>
      <c r="E604" s="182">
        <f t="shared" si="27"/>
        <v>4.1666666666666664E-2</v>
      </c>
      <c r="F604" s="179" t="s">
        <v>658</v>
      </c>
      <c r="G604" s="184" t="s">
        <v>1036</v>
      </c>
      <c r="H604" s="179"/>
    </row>
    <row r="605" spans="1:8" s="104" customFormat="1" ht="16.5" customHeight="1" x14ac:dyDescent="0.3">
      <c r="A605" s="180">
        <v>46283</v>
      </c>
      <c r="B605" s="179" t="s">
        <v>91</v>
      </c>
      <c r="C605" s="187">
        <v>4.1666666666666664E-2</v>
      </c>
      <c r="D605" s="187">
        <v>4.583333333333333E-2</v>
      </c>
      <c r="E605" s="182">
        <f t="shared" si="27"/>
        <v>4.1666666666666657E-3</v>
      </c>
      <c r="F605" s="179" t="s">
        <v>658</v>
      </c>
      <c r="G605" s="184" t="s">
        <v>1037</v>
      </c>
      <c r="H605" s="179"/>
    </row>
    <row r="606" spans="1:8" s="104" customFormat="1" ht="16.5" customHeight="1" x14ac:dyDescent="0.3">
      <c r="A606" s="180">
        <v>46283</v>
      </c>
      <c r="B606" s="179" t="s">
        <v>91</v>
      </c>
      <c r="C606" s="187">
        <v>4.583333333333333E-2</v>
      </c>
      <c r="D606" s="187">
        <v>4.7222222222222221E-2</v>
      </c>
      <c r="E606" s="182">
        <f t="shared" si="27"/>
        <v>1.3888888888888909E-3</v>
      </c>
      <c r="F606" s="179" t="s">
        <v>658</v>
      </c>
      <c r="G606" s="184" t="s">
        <v>1038</v>
      </c>
      <c r="H606" s="179"/>
    </row>
    <row r="607" spans="1:8" s="104" customFormat="1" ht="16.5" customHeight="1" x14ac:dyDescent="0.3">
      <c r="A607" s="180">
        <v>46283</v>
      </c>
      <c r="B607" s="179" t="s">
        <v>91</v>
      </c>
      <c r="C607" s="187">
        <v>4.7222222222222221E-2</v>
      </c>
      <c r="D607" s="187">
        <v>9.0972222222222218E-2</v>
      </c>
      <c r="E607" s="182">
        <f t="shared" si="27"/>
        <v>4.3749999999999997E-2</v>
      </c>
      <c r="F607" s="179" t="s">
        <v>658</v>
      </c>
      <c r="G607" s="184" t="s">
        <v>1039</v>
      </c>
      <c r="H607" s="188"/>
    </row>
    <row r="608" spans="1:8" s="104" customFormat="1" ht="16.5" customHeight="1" x14ac:dyDescent="0.3">
      <c r="A608" s="180">
        <v>46283</v>
      </c>
      <c r="B608" s="179" t="s">
        <v>91</v>
      </c>
      <c r="C608" s="187">
        <v>9.0972222222222218E-2</v>
      </c>
      <c r="D608" s="187">
        <v>0.11388888888888889</v>
      </c>
      <c r="E608" s="182">
        <f>D608-C608</f>
        <v>2.2916666666666669E-2</v>
      </c>
      <c r="F608" s="179" t="s">
        <v>658</v>
      </c>
      <c r="G608" s="184" t="s">
        <v>1040</v>
      </c>
      <c r="H608" s="179"/>
    </row>
    <row r="609" spans="1:8" s="104" customFormat="1" ht="16.5" customHeight="1" x14ac:dyDescent="0.3">
      <c r="A609" s="180">
        <v>46283</v>
      </c>
      <c r="B609" s="179" t="s">
        <v>91</v>
      </c>
      <c r="C609" s="187">
        <v>0.11388888888888889</v>
      </c>
      <c r="D609" s="187">
        <v>0.13472222222222222</v>
      </c>
      <c r="E609" s="182">
        <f t="shared" si="27"/>
        <v>2.0833333333333329E-2</v>
      </c>
      <c r="F609" s="179" t="s">
        <v>658</v>
      </c>
      <c r="G609" s="184" t="s">
        <v>1041</v>
      </c>
      <c r="H609" s="188"/>
    </row>
    <row r="610" spans="1:8" s="104" customFormat="1" ht="16.5" customHeight="1" x14ac:dyDescent="0.3">
      <c r="A610" s="180">
        <v>46283</v>
      </c>
      <c r="B610" s="179" t="s">
        <v>91</v>
      </c>
      <c r="C610" s="187">
        <v>0.13472222222222222</v>
      </c>
      <c r="D610" s="187">
        <v>0.15555555555555556</v>
      </c>
      <c r="E610" s="182">
        <f t="shared" si="27"/>
        <v>2.0833333333333343E-2</v>
      </c>
      <c r="F610" s="179" t="s">
        <v>658</v>
      </c>
      <c r="G610" s="184" t="s">
        <v>1042</v>
      </c>
      <c r="H610" s="188"/>
    </row>
    <row r="611" spans="1:8" s="104" customFormat="1" ht="16.5" customHeight="1" x14ac:dyDescent="0.3">
      <c r="A611" s="180">
        <v>46283</v>
      </c>
      <c r="B611" s="179" t="s">
        <v>91</v>
      </c>
      <c r="C611" s="187">
        <v>0.15555555555555556</v>
      </c>
      <c r="D611" s="187">
        <v>0.1763888888888889</v>
      </c>
      <c r="E611" s="182">
        <f t="shared" si="27"/>
        <v>2.0833333333333343E-2</v>
      </c>
      <c r="F611" s="179" t="s">
        <v>658</v>
      </c>
      <c r="G611" s="184" t="s">
        <v>1043</v>
      </c>
      <c r="H611" s="188"/>
    </row>
    <row r="612" spans="1:8" s="104" customFormat="1" ht="16.5" customHeight="1" x14ac:dyDescent="0.3">
      <c r="A612" s="180">
        <v>46283</v>
      </c>
      <c r="B612" s="179" t="s">
        <v>91</v>
      </c>
      <c r="C612" s="187">
        <v>0.1763888888888889</v>
      </c>
      <c r="D612" s="187">
        <v>0.18888888888888888</v>
      </c>
      <c r="E612" s="182">
        <f t="shared" si="27"/>
        <v>1.2499999999999983E-2</v>
      </c>
      <c r="F612" s="179" t="s">
        <v>658</v>
      </c>
      <c r="G612" s="184" t="s">
        <v>1044</v>
      </c>
      <c r="H612" s="188"/>
    </row>
    <row r="613" spans="1:8" s="104" customFormat="1" ht="16.5" customHeight="1" x14ac:dyDescent="0.3">
      <c r="A613" s="180">
        <v>46283</v>
      </c>
      <c r="B613" s="179" t="s">
        <v>91</v>
      </c>
      <c r="C613" s="187">
        <v>0.18888888888888888</v>
      </c>
      <c r="D613" s="187">
        <v>0.20833333333333334</v>
      </c>
      <c r="E613" s="182">
        <f t="shared" si="27"/>
        <v>1.9444444444444459E-2</v>
      </c>
      <c r="F613" s="179" t="s">
        <v>658</v>
      </c>
      <c r="G613" s="184" t="s">
        <v>1045</v>
      </c>
      <c r="H613" s="188"/>
    </row>
    <row r="614" spans="1:8" s="104" customFormat="1" ht="16.5" customHeight="1" x14ac:dyDescent="0.3">
      <c r="A614" s="180">
        <v>46283</v>
      </c>
      <c r="B614" s="179" t="s">
        <v>91</v>
      </c>
      <c r="C614" s="187">
        <v>0.20833333333333334</v>
      </c>
      <c r="D614" s="187">
        <v>0.21597222222222223</v>
      </c>
      <c r="E614" s="182">
        <f t="shared" si="27"/>
        <v>7.6388888888888895E-3</v>
      </c>
      <c r="F614" s="179" t="s">
        <v>658</v>
      </c>
      <c r="G614" s="184" t="s">
        <v>1046</v>
      </c>
      <c r="H614" s="188"/>
    </row>
    <row r="615" spans="1:8" s="104" customFormat="1" ht="16.5" customHeight="1" x14ac:dyDescent="0.3">
      <c r="A615" s="180">
        <v>46283</v>
      </c>
      <c r="B615" s="179" t="s">
        <v>91</v>
      </c>
      <c r="C615" s="187">
        <v>0.21597222222222223</v>
      </c>
      <c r="D615" s="187">
        <v>0.24166666666666667</v>
      </c>
      <c r="E615" s="182">
        <f t="shared" si="27"/>
        <v>2.5694444444444436E-2</v>
      </c>
      <c r="F615" s="179" t="s">
        <v>658</v>
      </c>
      <c r="G615" s="184" t="s">
        <v>1047</v>
      </c>
      <c r="H615" s="188"/>
    </row>
    <row r="616" spans="1:8" s="104" customFormat="1" ht="16.5" customHeight="1" x14ac:dyDescent="0.3">
      <c r="A616" s="180">
        <v>46283</v>
      </c>
      <c r="B616" s="179" t="s">
        <v>91</v>
      </c>
      <c r="C616" s="187">
        <v>0.24166666666666667</v>
      </c>
      <c r="D616" s="187">
        <v>0.26319444444444445</v>
      </c>
      <c r="E616" s="182">
        <f t="shared" si="27"/>
        <v>2.1527777777777785E-2</v>
      </c>
      <c r="F616" s="179" t="s">
        <v>658</v>
      </c>
      <c r="G616" s="184" t="s">
        <v>1048</v>
      </c>
      <c r="H616" s="188"/>
    </row>
    <row r="617" spans="1:8" s="104" customFormat="1" ht="16.5" customHeight="1" x14ac:dyDescent="0.3">
      <c r="A617" s="180">
        <v>46283</v>
      </c>
      <c r="B617" s="179" t="s">
        <v>91</v>
      </c>
      <c r="C617" s="187">
        <v>0.26319444444444445</v>
      </c>
      <c r="D617" s="187">
        <v>0.28611111111111109</v>
      </c>
      <c r="E617" s="182">
        <f t="shared" si="27"/>
        <v>2.2916666666666641E-2</v>
      </c>
      <c r="F617" s="179" t="s">
        <v>658</v>
      </c>
      <c r="G617" s="184" t="s">
        <v>1049</v>
      </c>
      <c r="H617" s="188"/>
    </row>
    <row r="618" spans="1:8" s="104" customFormat="1" ht="16.5" customHeight="1" x14ac:dyDescent="0.3">
      <c r="A618" s="180">
        <v>46283</v>
      </c>
      <c r="B618" s="179" t="s">
        <v>91</v>
      </c>
      <c r="C618" s="187">
        <v>0.28611111111111109</v>
      </c>
      <c r="D618" s="187">
        <v>0.28958333333333336</v>
      </c>
      <c r="E618" s="182">
        <f t="shared" si="27"/>
        <v>3.4722222222222654E-3</v>
      </c>
      <c r="F618" s="179" t="s">
        <v>658</v>
      </c>
      <c r="G618" s="184" t="s">
        <v>1050</v>
      </c>
      <c r="H618" s="188"/>
    </row>
    <row r="619" spans="1:8" s="104" customFormat="1" ht="16.5" customHeight="1" x14ac:dyDescent="0.3">
      <c r="A619" s="180">
        <v>46283</v>
      </c>
      <c r="B619" s="179" t="s">
        <v>91</v>
      </c>
      <c r="C619" s="187">
        <v>0.28958333333333336</v>
      </c>
      <c r="D619" s="187">
        <v>0.30833333333333335</v>
      </c>
      <c r="E619" s="182">
        <f t="shared" si="27"/>
        <v>1.8749999999999989E-2</v>
      </c>
      <c r="F619" s="179" t="s">
        <v>658</v>
      </c>
      <c r="G619" s="184" t="s">
        <v>1051</v>
      </c>
      <c r="H619" s="188"/>
    </row>
    <row r="620" spans="1:8" s="104" customFormat="1" ht="16.5" customHeight="1" x14ac:dyDescent="0.3">
      <c r="A620" s="180">
        <v>46283</v>
      </c>
      <c r="B620" s="179" t="s">
        <v>91</v>
      </c>
      <c r="C620" s="187">
        <v>0.30833333333333335</v>
      </c>
      <c r="D620" s="187">
        <v>0.32013888888888886</v>
      </c>
      <c r="E620" s="182">
        <f t="shared" si="27"/>
        <v>1.1805555555555514E-2</v>
      </c>
      <c r="F620" s="179" t="s">
        <v>658</v>
      </c>
      <c r="G620" s="184" t="s">
        <v>1052</v>
      </c>
      <c r="H620" s="188"/>
    </row>
    <row r="621" spans="1:8" s="104" customFormat="1" ht="16.5" customHeight="1" x14ac:dyDescent="0.3">
      <c r="A621" s="180">
        <v>46283</v>
      </c>
      <c r="B621" s="179" t="s">
        <v>91</v>
      </c>
      <c r="C621" s="187">
        <v>0.32013888888888886</v>
      </c>
      <c r="D621" s="187">
        <v>0.35416666666666669</v>
      </c>
      <c r="E621" s="182">
        <f t="shared" si="27"/>
        <v>3.4027777777777823E-2</v>
      </c>
      <c r="F621" s="179" t="s">
        <v>658</v>
      </c>
      <c r="G621" s="189" t="s">
        <v>1053</v>
      </c>
      <c r="H621" s="188"/>
    </row>
    <row r="622" spans="1:8" s="104" customFormat="1" ht="16.5" customHeight="1" x14ac:dyDescent="0.3">
      <c r="A622" s="180"/>
      <c r="B622" s="179"/>
      <c r="C622" s="182"/>
      <c r="D622" s="182"/>
      <c r="E622" s="182"/>
      <c r="F622" s="179"/>
      <c r="G622" s="179"/>
      <c r="H622" s="188"/>
    </row>
  </sheetData>
  <mergeCells count="46">
    <mergeCell ref="E592:E593"/>
    <mergeCell ref="F592:F593"/>
    <mergeCell ref="G592:G593"/>
    <mergeCell ref="H592:H593"/>
    <mergeCell ref="C446:D446"/>
    <mergeCell ref="C470:D470"/>
    <mergeCell ref="C493:D493"/>
    <mergeCell ref="A592:A593"/>
    <mergeCell ref="B592:B593"/>
    <mergeCell ref="C592:D592"/>
    <mergeCell ref="C329:D329"/>
    <mergeCell ref="G329:G330"/>
    <mergeCell ref="C364:D364"/>
    <mergeCell ref="C384:D384"/>
    <mergeCell ref="C405:D405"/>
    <mergeCell ref="C427:D427"/>
    <mergeCell ref="C265:D265"/>
    <mergeCell ref="G265:G266"/>
    <mergeCell ref="C286:D286"/>
    <mergeCell ref="G286:G287"/>
    <mergeCell ref="C307:D307"/>
    <mergeCell ref="G307:G308"/>
    <mergeCell ref="C187:D187"/>
    <mergeCell ref="G187:G188"/>
    <mergeCell ref="C217:D217"/>
    <mergeCell ref="G217:G218"/>
    <mergeCell ref="C243:D243"/>
    <mergeCell ref="G243:G244"/>
    <mergeCell ref="C121:D121"/>
    <mergeCell ref="G121:G122"/>
    <mergeCell ref="C144:D144"/>
    <mergeCell ref="G144:G145"/>
    <mergeCell ref="C162:D162"/>
    <mergeCell ref="G162:G163"/>
    <mergeCell ref="H1:H2"/>
    <mergeCell ref="I1:I2"/>
    <mergeCell ref="C22:D22"/>
    <mergeCell ref="C45:D45"/>
    <mergeCell ref="C71:D71"/>
    <mergeCell ref="C96:D96"/>
    <mergeCell ref="A1:A2"/>
    <mergeCell ref="B1:B2"/>
    <mergeCell ref="C1:D1"/>
    <mergeCell ref="E1:E2"/>
    <mergeCell ref="F1:F2"/>
    <mergeCell ref="G1: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E209-94EC-4DD2-A427-3362CDC7B47B}">
  <dimension ref="A1:I686"/>
  <sheetViews>
    <sheetView tabSelected="1" workbookViewId="0">
      <selection sqref="A1:XFD1048576"/>
    </sheetView>
  </sheetViews>
  <sheetFormatPr defaultRowHeight="14.4" x14ac:dyDescent="0.3"/>
  <cols>
    <col min="1" max="1" width="12.6640625" customWidth="1"/>
    <col min="3" max="3" width="14.88671875" bestFit="1" customWidth="1"/>
    <col min="5" max="5" width="13.109375" customWidth="1"/>
    <col min="7" max="7" width="130.109375" customWidth="1"/>
    <col min="8" max="8" width="18.88671875" customWidth="1"/>
    <col min="9" max="9" width="24.6640625" customWidth="1"/>
  </cols>
  <sheetData>
    <row r="1" spans="1:9" x14ac:dyDescent="0.3">
      <c r="A1" s="190" t="s">
        <v>1</v>
      </c>
      <c r="B1" s="191" t="s">
        <v>2</v>
      </c>
      <c r="C1" s="192" t="s">
        <v>3</v>
      </c>
      <c r="D1" s="192"/>
      <c r="E1" s="193" t="s">
        <v>4</v>
      </c>
      <c r="F1" s="190" t="s">
        <v>5</v>
      </c>
      <c r="G1" s="190" t="s">
        <v>6</v>
      </c>
      <c r="H1" s="190" t="s">
        <v>7</v>
      </c>
      <c r="I1" s="190" t="s">
        <v>8</v>
      </c>
    </row>
    <row r="2" spans="1:9" x14ac:dyDescent="0.3">
      <c r="A2" s="194"/>
      <c r="B2" s="195"/>
      <c r="C2" s="196" t="s">
        <v>9</v>
      </c>
      <c r="D2" s="196" t="s">
        <v>10</v>
      </c>
      <c r="E2" s="197"/>
      <c r="F2" s="194"/>
      <c r="G2" s="194"/>
      <c r="H2" s="194"/>
      <c r="I2" s="194"/>
    </row>
    <row r="3" spans="1:9" x14ac:dyDescent="0.3">
      <c r="A3" s="198">
        <v>45838</v>
      </c>
      <c r="B3" s="199" t="s">
        <v>12</v>
      </c>
      <c r="C3" s="200">
        <v>0.625</v>
      </c>
      <c r="D3" s="200">
        <v>0.63541666666666663</v>
      </c>
      <c r="E3" s="201">
        <f>D3-C3</f>
        <v>1.041666666666663E-2</v>
      </c>
      <c r="F3" s="202" t="s">
        <v>1054</v>
      </c>
      <c r="G3" s="203" t="s">
        <v>1055</v>
      </c>
      <c r="H3" s="204" t="s">
        <v>1056</v>
      </c>
      <c r="I3" s="196"/>
    </row>
    <row r="4" spans="1:9" x14ac:dyDescent="0.3">
      <c r="A4" s="198">
        <v>45838</v>
      </c>
      <c r="B4" s="199" t="s">
        <v>12</v>
      </c>
      <c r="C4" s="200">
        <v>0.63541666666666663</v>
      </c>
      <c r="D4" s="205">
        <v>0.63749999999999996</v>
      </c>
      <c r="E4" s="201">
        <f t="shared" ref="E4:E29" si="0">D4-C4</f>
        <v>2.0833333333333259E-3</v>
      </c>
      <c r="F4" s="204" t="s">
        <v>1054</v>
      </c>
      <c r="G4" s="206" t="s">
        <v>1057</v>
      </c>
      <c r="H4" s="204" t="s">
        <v>1058</v>
      </c>
      <c r="I4" s="204"/>
    </row>
    <row r="5" spans="1:9" ht="26.4" x14ac:dyDescent="0.3">
      <c r="A5" s="198">
        <v>45838</v>
      </c>
      <c r="B5" s="199" t="s">
        <v>12</v>
      </c>
      <c r="C5" s="205">
        <v>0.63749999999999996</v>
      </c>
      <c r="D5" s="205">
        <v>0.66666666666666663</v>
      </c>
      <c r="E5" s="201">
        <f t="shared" si="0"/>
        <v>2.9166666666666674E-2</v>
      </c>
      <c r="F5" s="204" t="s">
        <v>1054</v>
      </c>
      <c r="G5" s="122" t="s">
        <v>1059</v>
      </c>
      <c r="H5" s="204" t="s">
        <v>44</v>
      </c>
      <c r="I5" s="204"/>
    </row>
    <row r="6" spans="1:9" x14ac:dyDescent="0.3">
      <c r="A6" s="198">
        <v>45838</v>
      </c>
      <c r="B6" s="199" t="s">
        <v>12</v>
      </c>
      <c r="C6" s="205">
        <v>0.66666666666666663</v>
      </c>
      <c r="D6" s="205">
        <v>0.6694444444444444</v>
      </c>
      <c r="E6" s="201">
        <f t="shared" si="0"/>
        <v>2.7777777777777679E-3</v>
      </c>
      <c r="F6" s="204" t="s">
        <v>1054</v>
      </c>
      <c r="G6" s="122" t="s">
        <v>1060</v>
      </c>
      <c r="H6" s="204" t="s">
        <v>1058</v>
      </c>
      <c r="I6" s="204"/>
    </row>
    <row r="7" spans="1:9" x14ac:dyDescent="0.3">
      <c r="A7" s="198">
        <v>45838</v>
      </c>
      <c r="B7" s="199" t="s">
        <v>12</v>
      </c>
      <c r="C7" s="205">
        <v>0.66666666666666663</v>
      </c>
      <c r="D7" s="205">
        <v>0.6875</v>
      </c>
      <c r="E7" s="201">
        <f t="shared" si="0"/>
        <v>2.083333333333337E-2</v>
      </c>
      <c r="F7" s="204" t="s">
        <v>1054</v>
      </c>
      <c r="G7" s="207" t="s">
        <v>1061</v>
      </c>
      <c r="H7" s="204" t="s">
        <v>673</v>
      </c>
      <c r="I7" s="204"/>
    </row>
    <row r="8" spans="1:9" x14ac:dyDescent="0.3">
      <c r="A8" s="198">
        <v>45838</v>
      </c>
      <c r="B8" s="199" t="s">
        <v>12</v>
      </c>
      <c r="C8" s="205">
        <v>0.6875</v>
      </c>
      <c r="D8" s="205">
        <v>0.69444444444444442</v>
      </c>
      <c r="E8" s="201">
        <f t="shared" si="0"/>
        <v>6.9444444444444198E-3</v>
      </c>
      <c r="F8" s="204" t="s">
        <v>1054</v>
      </c>
      <c r="G8" s="167" t="s">
        <v>1062</v>
      </c>
      <c r="H8" s="199" t="s">
        <v>1063</v>
      </c>
      <c r="I8" s="199"/>
    </row>
    <row r="9" spans="1:9" x14ac:dyDescent="0.3">
      <c r="A9" s="198">
        <v>45838</v>
      </c>
      <c r="B9" s="199" t="s">
        <v>12</v>
      </c>
      <c r="C9" s="205">
        <v>0.69444444444444442</v>
      </c>
      <c r="D9" s="205">
        <v>0.70486111111111116</v>
      </c>
      <c r="E9" s="201">
        <f t="shared" si="0"/>
        <v>1.0416666666666741E-2</v>
      </c>
      <c r="F9" s="204" t="s">
        <v>1054</v>
      </c>
      <c r="G9" s="125" t="s">
        <v>1064</v>
      </c>
      <c r="H9" s="199" t="s">
        <v>1065</v>
      </c>
      <c r="I9" s="199"/>
    </row>
    <row r="10" spans="1:9" x14ac:dyDescent="0.3">
      <c r="A10" s="198">
        <v>45838</v>
      </c>
      <c r="B10" s="199" t="s">
        <v>12</v>
      </c>
      <c r="C10" s="205">
        <v>0.70486111111111116</v>
      </c>
      <c r="D10" s="205">
        <v>0.71180555555555558</v>
      </c>
      <c r="E10" s="201">
        <f t="shared" si="0"/>
        <v>6.9444444444444198E-3</v>
      </c>
      <c r="F10" s="204" t="s">
        <v>1054</v>
      </c>
      <c r="G10" s="167" t="s">
        <v>1066</v>
      </c>
      <c r="H10" s="199" t="s">
        <v>42</v>
      </c>
      <c r="I10" s="199"/>
    </row>
    <row r="11" spans="1:9" x14ac:dyDescent="0.3">
      <c r="A11" s="198">
        <v>45838</v>
      </c>
      <c r="B11" s="199" t="s">
        <v>12</v>
      </c>
      <c r="C11" s="205">
        <v>0.71180555555555558</v>
      </c>
      <c r="D11" s="205">
        <v>0.71458333333333335</v>
      </c>
      <c r="E11" s="201">
        <f t="shared" si="0"/>
        <v>2.7777777777777679E-3</v>
      </c>
      <c r="F11" s="204" t="s">
        <v>1054</v>
      </c>
      <c r="G11" s="125" t="s">
        <v>22</v>
      </c>
      <c r="H11" s="204" t="s">
        <v>1058</v>
      </c>
      <c r="I11" s="199"/>
    </row>
    <row r="12" spans="1:9" x14ac:dyDescent="0.3">
      <c r="A12" s="198">
        <v>45838</v>
      </c>
      <c r="B12" s="199" t="s">
        <v>12</v>
      </c>
      <c r="C12" s="205">
        <v>0.71458333333333335</v>
      </c>
      <c r="D12" s="205">
        <v>0.72222222222222221</v>
      </c>
      <c r="E12" s="201">
        <f t="shared" si="0"/>
        <v>7.6388888888888618E-3</v>
      </c>
      <c r="F12" s="204" t="s">
        <v>1054</v>
      </c>
      <c r="G12" s="167" t="s">
        <v>1067</v>
      </c>
      <c r="H12" s="204" t="s">
        <v>44</v>
      </c>
      <c r="I12" s="199"/>
    </row>
    <row r="13" spans="1:9" x14ac:dyDescent="0.3">
      <c r="A13" s="198">
        <v>45838</v>
      </c>
      <c r="B13" s="199" t="s">
        <v>12</v>
      </c>
      <c r="C13" s="205">
        <v>0.72222222222222221</v>
      </c>
      <c r="D13" s="205">
        <v>0.72569444444444442</v>
      </c>
      <c r="E13" s="201">
        <f t="shared" si="0"/>
        <v>3.4722222222222099E-3</v>
      </c>
      <c r="F13" s="204" t="s">
        <v>1054</v>
      </c>
      <c r="G13" s="125" t="s">
        <v>1068</v>
      </c>
      <c r="H13" s="204" t="s">
        <v>44</v>
      </c>
      <c r="I13" s="199"/>
    </row>
    <row r="14" spans="1:9" x14ac:dyDescent="0.3">
      <c r="A14" s="198">
        <v>45838</v>
      </c>
      <c r="B14" s="199" t="s">
        <v>12</v>
      </c>
      <c r="C14" s="205">
        <v>0.72569444444444442</v>
      </c>
      <c r="D14" s="205">
        <v>0.72777777777777775</v>
      </c>
      <c r="E14" s="201">
        <f t="shared" si="0"/>
        <v>2.0833333333333259E-3</v>
      </c>
      <c r="F14" s="204" t="s">
        <v>1054</v>
      </c>
      <c r="G14" s="125" t="s">
        <v>1069</v>
      </c>
      <c r="H14" s="204" t="s">
        <v>44</v>
      </c>
      <c r="I14" s="199"/>
    </row>
    <row r="15" spans="1:9" x14ac:dyDescent="0.3">
      <c r="A15" s="198">
        <v>45838</v>
      </c>
      <c r="B15" s="199" t="s">
        <v>12</v>
      </c>
      <c r="C15" s="205">
        <v>0.72777777777777775</v>
      </c>
      <c r="D15" s="205">
        <v>0.73958333333333337</v>
      </c>
      <c r="E15" s="201">
        <f t="shared" si="0"/>
        <v>1.1805555555555625E-2</v>
      </c>
      <c r="F15" s="204" t="s">
        <v>1054</v>
      </c>
      <c r="G15" s="125" t="s">
        <v>1070</v>
      </c>
      <c r="H15" s="204" t="s">
        <v>44</v>
      </c>
      <c r="I15" s="199"/>
    </row>
    <row r="16" spans="1:9" x14ac:dyDescent="0.3">
      <c r="A16" s="198">
        <v>45838</v>
      </c>
      <c r="B16" s="199" t="s">
        <v>12</v>
      </c>
      <c r="C16" s="205">
        <v>0.73958333333333337</v>
      </c>
      <c r="D16" s="205">
        <v>0.75</v>
      </c>
      <c r="E16" s="201">
        <f t="shared" si="0"/>
        <v>1.041666666666663E-2</v>
      </c>
      <c r="F16" s="204" t="s">
        <v>1054</v>
      </c>
      <c r="G16" s="125" t="s">
        <v>1071</v>
      </c>
      <c r="H16" s="199" t="s">
        <v>1065</v>
      </c>
      <c r="I16" s="199"/>
    </row>
    <row r="17" spans="1:9" x14ac:dyDescent="0.3">
      <c r="A17" s="198">
        <v>45838</v>
      </c>
      <c r="B17" s="199" t="s">
        <v>12</v>
      </c>
      <c r="C17" s="205">
        <v>0.75</v>
      </c>
      <c r="D17" s="205">
        <v>0.78125</v>
      </c>
      <c r="E17" s="201">
        <f t="shared" si="0"/>
        <v>3.125E-2</v>
      </c>
      <c r="F17" s="204" t="s">
        <v>1054</v>
      </c>
      <c r="G17" s="125" t="s">
        <v>1072</v>
      </c>
      <c r="H17" s="199" t="s">
        <v>36</v>
      </c>
      <c r="I17" s="199"/>
    </row>
    <row r="18" spans="1:9" x14ac:dyDescent="0.3">
      <c r="A18" s="198">
        <v>45838</v>
      </c>
      <c r="B18" s="199" t="s">
        <v>12</v>
      </c>
      <c r="C18" s="205">
        <v>0.78125</v>
      </c>
      <c r="D18" s="205">
        <v>0.78333333333333333</v>
      </c>
      <c r="E18" s="201">
        <f t="shared" si="0"/>
        <v>2.0833333333333259E-3</v>
      </c>
      <c r="F18" s="204" t="s">
        <v>1054</v>
      </c>
      <c r="G18" s="125" t="s">
        <v>1068</v>
      </c>
      <c r="H18" s="204" t="s">
        <v>44</v>
      </c>
      <c r="I18" s="199"/>
    </row>
    <row r="19" spans="1:9" x14ac:dyDescent="0.3">
      <c r="A19" s="198">
        <v>45838</v>
      </c>
      <c r="B19" s="199" t="s">
        <v>12</v>
      </c>
      <c r="C19" s="205">
        <v>0.78333333333333333</v>
      </c>
      <c r="D19" s="205">
        <v>0.78472222222222221</v>
      </c>
      <c r="E19" s="201">
        <f t="shared" si="0"/>
        <v>1.388888888888884E-3</v>
      </c>
      <c r="F19" s="204" t="s">
        <v>1054</v>
      </c>
      <c r="G19" s="125" t="s">
        <v>1069</v>
      </c>
      <c r="H19" s="204" t="s">
        <v>1058</v>
      </c>
      <c r="I19" s="199"/>
    </row>
    <row r="20" spans="1:9" x14ac:dyDescent="0.3">
      <c r="A20" s="198">
        <v>45838</v>
      </c>
      <c r="B20" s="199" t="s">
        <v>12</v>
      </c>
      <c r="C20" s="205">
        <v>0.78472222222222221</v>
      </c>
      <c r="D20" s="205">
        <v>0.79513888888888884</v>
      </c>
      <c r="E20" s="201">
        <f t="shared" si="0"/>
        <v>1.041666666666663E-2</v>
      </c>
      <c r="F20" s="204" t="s">
        <v>1054</v>
      </c>
      <c r="G20" s="125" t="s">
        <v>1070</v>
      </c>
      <c r="H20" s="204" t="s">
        <v>44</v>
      </c>
      <c r="I20" s="199"/>
    </row>
    <row r="21" spans="1:9" x14ac:dyDescent="0.3">
      <c r="A21" s="198">
        <v>45838</v>
      </c>
      <c r="B21" s="199" t="s">
        <v>12</v>
      </c>
      <c r="C21" s="205">
        <v>0.79513888888888884</v>
      </c>
      <c r="D21" s="205">
        <v>0.79722222222222228</v>
      </c>
      <c r="E21" s="201">
        <f t="shared" si="0"/>
        <v>2.083333333333437E-3</v>
      </c>
      <c r="F21" s="204" t="s">
        <v>1054</v>
      </c>
      <c r="G21" s="125" t="s">
        <v>1073</v>
      </c>
      <c r="H21" s="204" t="s">
        <v>44</v>
      </c>
      <c r="I21" s="199"/>
    </row>
    <row r="22" spans="1:9" x14ac:dyDescent="0.3">
      <c r="A22" s="198">
        <v>45838</v>
      </c>
      <c r="B22" s="199" t="s">
        <v>12</v>
      </c>
      <c r="C22" s="205">
        <v>0.79722222222222228</v>
      </c>
      <c r="D22" s="205">
        <v>0.80509259259259258</v>
      </c>
      <c r="E22" s="201">
        <f t="shared" si="0"/>
        <v>7.8703703703703054E-3</v>
      </c>
      <c r="F22" s="204" t="s">
        <v>1054</v>
      </c>
      <c r="G22" s="125" t="s">
        <v>1074</v>
      </c>
      <c r="H22" s="199" t="s">
        <v>1075</v>
      </c>
      <c r="I22" s="199"/>
    </row>
    <row r="23" spans="1:9" x14ac:dyDescent="0.3">
      <c r="A23" s="198">
        <v>45838</v>
      </c>
      <c r="B23" s="199" t="s">
        <v>12</v>
      </c>
      <c r="C23" s="205">
        <v>0.80509259259259258</v>
      </c>
      <c r="D23" s="205">
        <v>0.81944444444444442</v>
      </c>
      <c r="E23" s="201">
        <f t="shared" si="0"/>
        <v>1.4351851851851838E-2</v>
      </c>
      <c r="F23" s="204" t="s">
        <v>1054</v>
      </c>
      <c r="G23" s="167" t="s">
        <v>1076</v>
      </c>
      <c r="H23" s="199" t="s">
        <v>42</v>
      </c>
      <c r="I23" s="199"/>
    </row>
    <row r="24" spans="1:9" x14ac:dyDescent="0.3">
      <c r="A24" s="198">
        <v>45838</v>
      </c>
      <c r="B24" s="199" t="s">
        <v>12</v>
      </c>
      <c r="C24" s="205">
        <v>0.81944444444444442</v>
      </c>
      <c r="D24" s="205">
        <v>0.82986111111111116</v>
      </c>
      <c r="E24" s="201">
        <f t="shared" si="0"/>
        <v>1.0416666666666741E-2</v>
      </c>
      <c r="F24" s="204" t="s">
        <v>1054</v>
      </c>
      <c r="G24" s="167" t="s">
        <v>1077</v>
      </c>
      <c r="H24" s="199" t="s">
        <v>42</v>
      </c>
      <c r="I24" s="199"/>
    </row>
    <row r="25" spans="1:9" x14ac:dyDescent="0.3">
      <c r="A25" s="198">
        <v>45838</v>
      </c>
      <c r="B25" s="199" t="s">
        <v>12</v>
      </c>
      <c r="C25" s="205">
        <v>0.82986111111111116</v>
      </c>
      <c r="D25" s="205">
        <v>0.83680555555555558</v>
      </c>
      <c r="E25" s="201">
        <f t="shared" si="0"/>
        <v>6.9444444444444198E-3</v>
      </c>
      <c r="F25" s="204" t="s">
        <v>1054</v>
      </c>
      <c r="G25" s="125" t="s">
        <v>1078</v>
      </c>
      <c r="H25" s="204" t="s">
        <v>44</v>
      </c>
      <c r="I25" s="199"/>
    </row>
    <row r="26" spans="1:9" x14ac:dyDescent="0.3">
      <c r="A26" s="198">
        <v>45838</v>
      </c>
      <c r="B26" s="199" t="s">
        <v>12</v>
      </c>
      <c r="C26" s="205">
        <v>0.83680555555555558</v>
      </c>
      <c r="D26" s="205">
        <v>0.875</v>
      </c>
      <c r="E26" s="201">
        <f t="shared" si="0"/>
        <v>3.819444444444442E-2</v>
      </c>
      <c r="F26" s="204" t="s">
        <v>1054</v>
      </c>
      <c r="G26" s="125" t="s">
        <v>1079</v>
      </c>
      <c r="H26" s="204" t="s">
        <v>673</v>
      </c>
      <c r="I26" s="199"/>
    </row>
    <row r="27" spans="1:9" x14ac:dyDescent="0.3">
      <c r="A27" s="198">
        <v>45838</v>
      </c>
      <c r="B27" s="199" t="s">
        <v>12</v>
      </c>
      <c r="C27" s="205">
        <v>0.875</v>
      </c>
      <c r="D27" s="205">
        <v>0.91666666666666663</v>
      </c>
      <c r="E27" s="201">
        <f t="shared" si="0"/>
        <v>4.166666666666663E-2</v>
      </c>
      <c r="F27" s="204" t="s">
        <v>1054</v>
      </c>
      <c r="G27" s="125" t="s">
        <v>1080</v>
      </c>
      <c r="H27" s="204" t="s">
        <v>673</v>
      </c>
      <c r="I27" s="199"/>
    </row>
    <row r="28" spans="1:9" x14ac:dyDescent="0.3">
      <c r="A28" s="198">
        <v>45838</v>
      </c>
      <c r="B28" s="199" t="s">
        <v>12</v>
      </c>
      <c r="C28" s="205">
        <v>0.91666666666666663</v>
      </c>
      <c r="D28" s="205">
        <v>0.93055555555555558</v>
      </c>
      <c r="E28" s="201">
        <f t="shared" si="0"/>
        <v>1.3888888888888951E-2</v>
      </c>
      <c r="F28" s="204" t="s">
        <v>1054</v>
      </c>
      <c r="G28" s="125" t="s">
        <v>1081</v>
      </c>
      <c r="H28" s="204" t="s">
        <v>44</v>
      </c>
      <c r="I28" s="199"/>
    </row>
    <row r="29" spans="1:9" ht="15.75" customHeight="1" x14ac:dyDescent="0.3">
      <c r="A29" s="198">
        <v>45838</v>
      </c>
      <c r="B29" s="199" t="s">
        <v>12</v>
      </c>
      <c r="C29" s="205">
        <v>0.93055555555555558</v>
      </c>
      <c r="D29" s="205">
        <v>0.96527777777777779</v>
      </c>
      <c r="E29" s="201">
        <f t="shared" si="0"/>
        <v>3.472222222222221E-2</v>
      </c>
      <c r="F29" s="204" t="s">
        <v>1054</v>
      </c>
      <c r="G29" s="125" t="s">
        <v>1082</v>
      </c>
      <c r="H29" s="204" t="s">
        <v>44</v>
      </c>
      <c r="I29" s="199"/>
    </row>
    <row r="30" spans="1:9" x14ac:dyDescent="0.3">
      <c r="A30" s="13"/>
      <c r="B30" s="13"/>
      <c r="C30" s="13"/>
      <c r="D30" s="13"/>
      <c r="E30" s="13"/>
      <c r="F30" s="13"/>
      <c r="G30" s="13"/>
      <c r="H30" s="13"/>
      <c r="I30" s="13"/>
    </row>
    <row r="31" spans="1:9" ht="15" customHeight="1" x14ac:dyDescent="0.3">
      <c r="A31" s="190" t="s">
        <v>1</v>
      </c>
      <c r="B31" s="208" t="s">
        <v>2</v>
      </c>
      <c r="C31" s="209" t="s">
        <v>3</v>
      </c>
      <c r="D31" s="210"/>
      <c r="E31" s="211" t="s">
        <v>4</v>
      </c>
      <c r="F31" s="190" t="s">
        <v>5</v>
      </c>
      <c r="G31" s="190" t="s">
        <v>6</v>
      </c>
      <c r="H31" s="190" t="s">
        <v>7</v>
      </c>
      <c r="I31" s="190" t="s">
        <v>8</v>
      </c>
    </row>
    <row r="32" spans="1:9" x14ac:dyDescent="0.3">
      <c r="A32" s="212"/>
      <c r="B32" s="213"/>
      <c r="C32" s="196" t="s">
        <v>9</v>
      </c>
      <c r="D32" s="196" t="s">
        <v>10</v>
      </c>
      <c r="E32" s="214"/>
      <c r="F32" s="215"/>
      <c r="G32" s="215"/>
      <c r="H32" s="215"/>
      <c r="I32" s="215"/>
    </row>
    <row r="33" spans="1:9" x14ac:dyDescent="0.3">
      <c r="A33" s="198">
        <v>45839</v>
      </c>
      <c r="B33" s="199" t="s">
        <v>59</v>
      </c>
      <c r="C33" s="200">
        <v>0.625</v>
      </c>
      <c r="D33" s="200">
        <v>0.63541666666666663</v>
      </c>
      <c r="E33" s="201">
        <f t="shared" ref="E33:E46" si="1">D33-C33</f>
        <v>1.041666666666663E-2</v>
      </c>
      <c r="F33" s="202" t="s">
        <v>1054</v>
      </c>
      <c r="G33" s="203" t="s">
        <v>1055</v>
      </c>
      <c r="H33" s="196" t="s">
        <v>1056</v>
      </c>
      <c r="I33" s="216"/>
    </row>
    <row r="34" spans="1:9" ht="36.75" customHeight="1" x14ac:dyDescent="0.3">
      <c r="A34" s="198">
        <v>45839</v>
      </c>
      <c r="B34" s="199" t="s">
        <v>59</v>
      </c>
      <c r="C34" s="200">
        <v>0.63541666666666663</v>
      </c>
      <c r="D34" s="205">
        <v>0.66666666666666663</v>
      </c>
      <c r="E34" s="201">
        <f t="shared" si="1"/>
        <v>3.125E-2</v>
      </c>
      <c r="F34" s="204" t="s">
        <v>1054</v>
      </c>
      <c r="G34" s="140" t="s">
        <v>1083</v>
      </c>
      <c r="H34" s="204" t="s">
        <v>44</v>
      </c>
      <c r="I34" s="204"/>
    </row>
    <row r="35" spans="1:9" x14ac:dyDescent="0.3">
      <c r="A35" s="198">
        <v>45839</v>
      </c>
      <c r="B35" s="199" t="s">
        <v>59</v>
      </c>
      <c r="C35" s="205">
        <v>0.66666666666666663</v>
      </c>
      <c r="D35" s="205">
        <v>0.67708333333333337</v>
      </c>
      <c r="E35" s="201">
        <f t="shared" si="1"/>
        <v>1.0416666666666741E-2</v>
      </c>
      <c r="F35" s="217" t="s">
        <v>1054</v>
      </c>
      <c r="G35" s="125" t="s">
        <v>1064</v>
      </c>
      <c r="H35" s="199" t="s">
        <v>1065</v>
      </c>
      <c r="I35" s="204"/>
    </row>
    <row r="36" spans="1:9" x14ac:dyDescent="0.3">
      <c r="A36" s="198">
        <v>45839</v>
      </c>
      <c r="B36" s="199" t="s">
        <v>59</v>
      </c>
      <c r="C36" s="205">
        <v>0.67708333333333337</v>
      </c>
      <c r="D36" s="205">
        <v>0.68055555555555558</v>
      </c>
      <c r="E36" s="201">
        <f t="shared" si="1"/>
        <v>3.4722222222222099E-3</v>
      </c>
      <c r="F36" s="217" t="s">
        <v>1054</v>
      </c>
      <c r="G36" s="125" t="s">
        <v>1084</v>
      </c>
      <c r="H36" s="204" t="s">
        <v>44</v>
      </c>
      <c r="I36" s="204"/>
    </row>
    <row r="37" spans="1:9" x14ac:dyDescent="0.3">
      <c r="A37" s="198">
        <v>45839</v>
      </c>
      <c r="B37" s="199" t="s">
        <v>59</v>
      </c>
      <c r="C37" s="205">
        <v>0.68055555555555558</v>
      </c>
      <c r="D37" s="205">
        <v>0.69444444444444442</v>
      </c>
      <c r="E37" s="201">
        <f t="shared" si="1"/>
        <v>1.388888888888884E-2</v>
      </c>
      <c r="F37" s="217" t="s">
        <v>1054</v>
      </c>
      <c r="G37" s="125" t="s">
        <v>1085</v>
      </c>
      <c r="H37" s="204" t="s">
        <v>44</v>
      </c>
      <c r="I37" s="204"/>
    </row>
    <row r="38" spans="1:9" x14ac:dyDescent="0.3">
      <c r="A38" s="198">
        <v>45839</v>
      </c>
      <c r="B38" s="199" t="s">
        <v>59</v>
      </c>
      <c r="C38" s="205">
        <v>0.69444444444444442</v>
      </c>
      <c r="D38" s="205">
        <v>0.73958333333333337</v>
      </c>
      <c r="E38" s="201">
        <f t="shared" si="1"/>
        <v>4.5138888888888951E-2</v>
      </c>
      <c r="F38" s="217" t="s">
        <v>1054</v>
      </c>
      <c r="G38" s="125" t="s">
        <v>1086</v>
      </c>
      <c r="H38" s="199" t="s">
        <v>1087</v>
      </c>
      <c r="I38" s="199"/>
    </row>
    <row r="39" spans="1:9" x14ac:dyDescent="0.3">
      <c r="A39" s="198">
        <v>45839</v>
      </c>
      <c r="B39" s="199" t="s">
        <v>59</v>
      </c>
      <c r="C39" s="205">
        <v>0.73958333333333337</v>
      </c>
      <c r="D39" s="205">
        <v>0.76388888888888884</v>
      </c>
      <c r="E39" s="201">
        <f t="shared" si="1"/>
        <v>2.4305555555555469E-2</v>
      </c>
      <c r="F39" s="217" t="s">
        <v>1054</v>
      </c>
      <c r="G39" s="125" t="s">
        <v>1088</v>
      </c>
      <c r="H39" s="199" t="s">
        <v>1089</v>
      </c>
      <c r="I39" s="199"/>
    </row>
    <row r="40" spans="1:9" x14ac:dyDescent="0.3">
      <c r="A40" s="198">
        <v>45839</v>
      </c>
      <c r="B40" s="199" t="s">
        <v>59</v>
      </c>
      <c r="C40" s="205">
        <v>0.76388888888888884</v>
      </c>
      <c r="D40" s="205">
        <v>0.80208333333333337</v>
      </c>
      <c r="E40" s="201">
        <f t="shared" si="1"/>
        <v>3.8194444444444531E-2</v>
      </c>
      <c r="F40" s="217" t="s">
        <v>1054</v>
      </c>
      <c r="G40" s="125" t="s">
        <v>755</v>
      </c>
      <c r="H40" s="199" t="s">
        <v>225</v>
      </c>
      <c r="I40" s="199"/>
    </row>
    <row r="41" spans="1:9" x14ac:dyDescent="0.3">
      <c r="A41" s="198">
        <v>45839</v>
      </c>
      <c r="B41" s="199" t="s">
        <v>59</v>
      </c>
      <c r="C41" s="205">
        <v>0.80208333333333337</v>
      </c>
      <c r="D41" s="205">
        <v>0.80555555555555558</v>
      </c>
      <c r="E41" s="201">
        <f t="shared" si="1"/>
        <v>3.4722222222222099E-3</v>
      </c>
      <c r="F41" s="217" t="s">
        <v>1054</v>
      </c>
      <c r="G41" s="125" t="s">
        <v>1084</v>
      </c>
      <c r="H41" s="204" t="s">
        <v>44</v>
      </c>
      <c r="I41" s="199"/>
    </row>
    <row r="42" spans="1:9" x14ac:dyDescent="0.3">
      <c r="A42" s="198">
        <v>45839</v>
      </c>
      <c r="B42" s="199" t="s">
        <v>59</v>
      </c>
      <c r="C42" s="205">
        <v>0.80555555555555558</v>
      </c>
      <c r="D42" s="205">
        <v>0.81597222222222221</v>
      </c>
      <c r="E42" s="201">
        <f t="shared" si="1"/>
        <v>1.041666666666663E-2</v>
      </c>
      <c r="F42" s="217" t="s">
        <v>1054</v>
      </c>
      <c r="G42" s="125" t="s">
        <v>1085</v>
      </c>
      <c r="H42" s="204" t="s">
        <v>44</v>
      </c>
      <c r="I42" s="199"/>
    </row>
    <row r="43" spans="1:9" x14ac:dyDescent="0.3">
      <c r="A43" s="198">
        <v>45839</v>
      </c>
      <c r="B43" s="199" t="s">
        <v>59</v>
      </c>
      <c r="C43" s="205">
        <v>0.81597222222222221</v>
      </c>
      <c r="D43" s="205">
        <v>0.86111111111111116</v>
      </c>
      <c r="E43" s="201">
        <f t="shared" si="1"/>
        <v>4.5138888888888951E-2</v>
      </c>
      <c r="F43" s="217" t="s">
        <v>1054</v>
      </c>
      <c r="G43" s="167" t="s">
        <v>1090</v>
      </c>
      <c r="H43" s="199" t="s">
        <v>1087</v>
      </c>
      <c r="I43" s="199"/>
    </row>
    <row r="44" spans="1:9" x14ac:dyDescent="0.3">
      <c r="A44" s="198">
        <v>45839</v>
      </c>
      <c r="B44" s="199" t="s">
        <v>59</v>
      </c>
      <c r="C44" s="205">
        <v>0.86111111111111116</v>
      </c>
      <c r="D44" s="205">
        <v>0.94791666666666663</v>
      </c>
      <c r="E44" s="201">
        <f t="shared" si="1"/>
        <v>8.6805555555555469E-2</v>
      </c>
      <c r="F44" s="217" t="s">
        <v>1054</v>
      </c>
      <c r="G44" s="125" t="s">
        <v>1091</v>
      </c>
      <c r="H44" s="199" t="s">
        <v>1087</v>
      </c>
      <c r="I44" s="199"/>
    </row>
    <row r="45" spans="1:9" x14ac:dyDescent="0.3">
      <c r="A45" s="198">
        <v>45839</v>
      </c>
      <c r="B45" s="199" t="s">
        <v>59</v>
      </c>
      <c r="C45" s="205">
        <v>0.94791666666666663</v>
      </c>
      <c r="D45" s="205">
        <v>0.95833333333333337</v>
      </c>
      <c r="E45" s="201">
        <f t="shared" si="1"/>
        <v>1.0416666666666741E-2</v>
      </c>
      <c r="F45" s="217" t="s">
        <v>1054</v>
      </c>
      <c r="G45" s="125" t="s">
        <v>1081</v>
      </c>
      <c r="H45" s="204" t="s">
        <v>44</v>
      </c>
      <c r="I45" s="199"/>
    </row>
    <row r="46" spans="1:9" ht="24.75" customHeight="1" x14ac:dyDescent="0.3">
      <c r="A46" s="198">
        <v>45839</v>
      </c>
      <c r="B46" s="199" t="s">
        <v>59</v>
      </c>
      <c r="C46" s="205">
        <v>0.95833333333333337</v>
      </c>
      <c r="D46" s="205">
        <v>1</v>
      </c>
      <c r="E46" s="201">
        <f t="shared" si="1"/>
        <v>4.166666666666663E-2</v>
      </c>
      <c r="F46" s="217" t="s">
        <v>1054</v>
      </c>
      <c r="G46" s="125" t="s">
        <v>1082</v>
      </c>
      <c r="H46" s="204" t="s">
        <v>44</v>
      </c>
      <c r="I46" s="199"/>
    </row>
    <row r="47" spans="1:9" x14ac:dyDescent="0.3">
      <c r="A47" s="13"/>
      <c r="B47" s="13"/>
      <c r="C47" s="13"/>
      <c r="D47" s="13"/>
      <c r="E47" s="13"/>
      <c r="F47" s="13"/>
      <c r="G47" s="13"/>
      <c r="H47" s="13"/>
      <c r="I47" s="13"/>
    </row>
    <row r="48" spans="1:9" x14ac:dyDescent="0.3">
      <c r="A48" s="190" t="s">
        <v>1</v>
      </c>
      <c r="B48" s="208" t="s">
        <v>2</v>
      </c>
      <c r="C48" s="209" t="s">
        <v>3</v>
      </c>
      <c r="D48" s="210"/>
      <c r="E48" s="211" t="s">
        <v>4</v>
      </c>
      <c r="F48" s="190" t="s">
        <v>5</v>
      </c>
      <c r="G48" s="190" t="s">
        <v>6</v>
      </c>
      <c r="H48" s="190" t="s">
        <v>7</v>
      </c>
      <c r="I48" s="190" t="s">
        <v>8</v>
      </c>
    </row>
    <row r="49" spans="1:9" x14ac:dyDescent="0.3">
      <c r="A49" s="212"/>
      <c r="B49" s="213"/>
      <c r="C49" s="196" t="s">
        <v>9</v>
      </c>
      <c r="D49" s="196" t="s">
        <v>10</v>
      </c>
      <c r="E49" s="214"/>
      <c r="F49" s="215"/>
      <c r="G49" s="215"/>
      <c r="H49" s="215"/>
      <c r="I49" s="215"/>
    </row>
    <row r="50" spans="1:9" x14ac:dyDescent="0.3">
      <c r="A50" s="198">
        <v>45840</v>
      </c>
      <c r="B50" s="199" t="s">
        <v>88</v>
      </c>
      <c r="C50" s="200">
        <v>0.58333333333333337</v>
      </c>
      <c r="D50" s="200">
        <v>0.59027777777777779</v>
      </c>
      <c r="E50" s="201">
        <f t="shared" ref="E50:E66" si="2">D50-C50</f>
        <v>6.9444444444444198E-3</v>
      </c>
      <c r="F50" s="202" t="s">
        <v>1054</v>
      </c>
      <c r="G50" s="203" t="s">
        <v>1055</v>
      </c>
      <c r="H50" s="196" t="s">
        <v>1056</v>
      </c>
      <c r="I50" s="216"/>
    </row>
    <row r="51" spans="1:9" ht="26.4" x14ac:dyDescent="0.3">
      <c r="A51" s="198">
        <v>45840</v>
      </c>
      <c r="B51" s="199" t="s">
        <v>88</v>
      </c>
      <c r="C51" s="200">
        <v>0.59027777777777779</v>
      </c>
      <c r="D51" s="205">
        <v>0.63541666666666663</v>
      </c>
      <c r="E51" s="201">
        <f t="shared" si="2"/>
        <v>4.513888888888884E-2</v>
      </c>
      <c r="F51" s="202" t="s">
        <v>1054</v>
      </c>
      <c r="G51" s="140" t="s">
        <v>1083</v>
      </c>
      <c r="H51" s="204" t="s">
        <v>44</v>
      </c>
      <c r="I51" s="204"/>
    </row>
    <row r="52" spans="1:9" x14ac:dyDescent="0.3">
      <c r="A52" s="198">
        <v>45840</v>
      </c>
      <c r="B52" s="199" t="s">
        <v>88</v>
      </c>
      <c r="C52" s="205">
        <v>0.63541666666666663</v>
      </c>
      <c r="D52" s="205">
        <v>0.6381944444444444</v>
      </c>
      <c r="E52" s="201">
        <f t="shared" si="2"/>
        <v>2.7777777777777679E-3</v>
      </c>
      <c r="F52" s="202" t="s">
        <v>1054</v>
      </c>
      <c r="G52" s="125" t="s">
        <v>1092</v>
      </c>
      <c r="H52" s="204" t="s">
        <v>44</v>
      </c>
      <c r="I52" s="204"/>
    </row>
    <row r="53" spans="1:9" x14ac:dyDescent="0.3">
      <c r="A53" s="198">
        <v>45840</v>
      </c>
      <c r="B53" s="199" t="s">
        <v>88</v>
      </c>
      <c r="C53" s="205">
        <v>0.6381944444444444</v>
      </c>
      <c r="D53" s="205">
        <v>0.64583333333333337</v>
      </c>
      <c r="E53" s="201">
        <f t="shared" si="2"/>
        <v>7.6388888888889728E-3</v>
      </c>
      <c r="F53" s="202" t="s">
        <v>1054</v>
      </c>
      <c r="G53" s="125" t="s">
        <v>1093</v>
      </c>
      <c r="H53" s="204" t="s">
        <v>44</v>
      </c>
      <c r="I53" s="204"/>
    </row>
    <row r="54" spans="1:9" x14ac:dyDescent="0.3">
      <c r="A54" s="198">
        <v>45840</v>
      </c>
      <c r="B54" s="199" t="s">
        <v>88</v>
      </c>
      <c r="C54" s="205">
        <v>0.64583333333333337</v>
      </c>
      <c r="D54" s="205">
        <v>0.65625</v>
      </c>
      <c r="E54" s="201">
        <f t="shared" si="2"/>
        <v>1.041666666666663E-2</v>
      </c>
      <c r="F54" s="202" t="s">
        <v>1054</v>
      </c>
      <c r="G54" s="125" t="s">
        <v>1094</v>
      </c>
      <c r="H54" s="199" t="s">
        <v>1065</v>
      </c>
      <c r="I54" s="204"/>
    </row>
    <row r="55" spans="1:9" x14ac:dyDescent="0.3">
      <c r="A55" s="198">
        <v>45840</v>
      </c>
      <c r="B55" s="199" t="s">
        <v>88</v>
      </c>
      <c r="C55" s="205">
        <v>0.65625</v>
      </c>
      <c r="D55" s="205">
        <v>0.73958333333333337</v>
      </c>
      <c r="E55" s="201">
        <f t="shared" si="2"/>
        <v>8.333333333333337E-2</v>
      </c>
      <c r="F55" s="202" t="s">
        <v>1054</v>
      </c>
      <c r="G55" s="125" t="s">
        <v>1095</v>
      </c>
      <c r="H55" s="199" t="s">
        <v>1087</v>
      </c>
      <c r="I55" s="199"/>
    </row>
    <row r="56" spans="1:9" ht="16.5" customHeight="1" x14ac:dyDescent="0.3">
      <c r="A56" s="198">
        <v>45840</v>
      </c>
      <c r="B56" s="199" t="s">
        <v>88</v>
      </c>
      <c r="C56" s="205">
        <v>0.73958333333333337</v>
      </c>
      <c r="D56" s="205">
        <v>0.76041666666666663</v>
      </c>
      <c r="E56" s="201">
        <f t="shared" si="2"/>
        <v>2.0833333333333259E-2</v>
      </c>
      <c r="F56" s="202" t="s">
        <v>1054</v>
      </c>
      <c r="G56" s="218" t="s">
        <v>1096</v>
      </c>
      <c r="H56" s="199" t="s">
        <v>1089</v>
      </c>
      <c r="I56" s="199"/>
    </row>
    <row r="57" spans="1:9" x14ac:dyDescent="0.3">
      <c r="A57" s="198">
        <v>45840</v>
      </c>
      <c r="B57" s="199" t="s">
        <v>88</v>
      </c>
      <c r="C57" s="205">
        <v>0.76041666666666663</v>
      </c>
      <c r="D57" s="205">
        <v>0.79166666666666663</v>
      </c>
      <c r="E57" s="201">
        <f t="shared" si="2"/>
        <v>3.125E-2</v>
      </c>
      <c r="F57" s="202" t="s">
        <v>1054</v>
      </c>
      <c r="G57" s="125" t="s">
        <v>755</v>
      </c>
      <c r="H57" s="199" t="s">
        <v>1065</v>
      </c>
      <c r="I57" s="199"/>
    </row>
    <row r="58" spans="1:9" x14ac:dyDescent="0.3">
      <c r="A58" s="198">
        <v>45840</v>
      </c>
      <c r="B58" s="199" t="s">
        <v>88</v>
      </c>
      <c r="C58" s="205">
        <v>0.79166666666666663</v>
      </c>
      <c r="D58" s="205">
        <v>0.81944444444444442</v>
      </c>
      <c r="E58" s="201">
        <f t="shared" si="2"/>
        <v>2.777777777777779E-2</v>
      </c>
      <c r="F58" s="202" t="s">
        <v>1054</v>
      </c>
      <c r="G58" s="125" t="s">
        <v>1097</v>
      </c>
      <c r="H58" s="199" t="s">
        <v>1089</v>
      </c>
      <c r="I58" s="199"/>
    </row>
    <row r="59" spans="1:9" x14ac:dyDescent="0.3">
      <c r="A59" s="198">
        <v>45840</v>
      </c>
      <c r="B59" s="199" t="s">
        <v>88</v>
      </c>
      <c r="C59" s="205">
        <v>0.81944444444444442</v>
      </c>
      <c r="D59" s="205">
        <v>0.85069444444444442</v>
      </c>
      <c r="E59" s="201">
        <f t="shared" si="2"/>
        <v>3.125E-2</v>
      </c>
      <c r="F59" s="202" t="s">
        <v>1054</v>
      </c>
      <c r="G59" s="125" t="s">
        <v>1098</v>
      </c>
      <c r="H59" s="199" t="s">
        <v>1087</v>
      </c>
      <c r="I59" s="199"/>
    </row>
    <row r="60" spans="1:9" x14ac:dyDescent="0.3">
      <c r="A60" s="198">
        <v>45840</v>
      </c>
      <c r="B60" s="199" t="s">
        <v>88</v>
      </c>
      <c r="C60" s="205">
        <v>0.85069444444444442</v>
      </c>
      <c r="D60" s="205">
        <v>0.86458333333333337</v>
      </c>
      <c r="E60" s="201">
        <f t="shared" si="2"/>
        <v>1.3888888888888951E-2</v>
      </c>
      <c r="F60" s="202" t="s">
        <v>1054</v>
      </c>
      <c r="G60" s="125" t="s">
        <v>1099</v>
      </c>
      <c r="H60" s="199" t="s">
        <v>1087</v>
      </c>
      <c r="I60" s="199"/>
    </row>
    <row r="61" spans="1:9" x14ac:dyDescent="0.3">
      <c r="A61" s="198">
        <v>45840</v>
      </c>
      <c r="B61" s="199" t="s">
        <v>88</v>
      </c>
      <c r="C61" s="205">
        <v>0.86458333333333337</v>
      </c>
      <c r="D61" s="205">
        <v>0.875</v>
      </c>
      <c r="E61" s="201">
        <f t="shared" si="2"/>
        <v>1.041666666666663E-2</v>
      </c>
      <c r="F61" s="202" t="s">
        <v>1054</v>
      </c>
      <c r="G61" s="125" t="s">
        <v>1100</v>
      </c>
      <c r="H61" s="199" t="s">
        <v>1089</v>
      </c>
      <c r="I61" s="199"/>
    </row>
    <row r="62" spans="1:9" x14ac:dyDescent="0.3">
      <c r="A62" s="198">
        <v>45840</v>
      </c>
      <c r="B62" s="199" t="s">
        <v>88</v>
      </c>
      <c r="C62" s="205">
        <v>0.875</v>
      </c>
      <c r="D62" s="205">
        <v>0.88194444444444442</v>
      </c>
      <c r="E62" s="201">
        <f t="shared" si="2"/>
        <v>6.9444444444444198E-3</v>
      </c>
      <c r="F62" s="202" t="s">
        <v>1054</v>
      </c>
      <c r="G62" s="125" t="s">
        <v>1101</v>
      </c>
      <c r="H62" s="204" t="s">
        <v>1102</v>
      </c>
      <c r="I62" s="199"/>
    </row>
    <row r="63" spans="1:9" x14ac:dyDescent="0.3">
      <c r="A63" s="198">
        <v>45840</v>
      </c>
      <c r="B63" s="199" t="s">
        <v>88</v>
      </c>
      <c r="C63" s="205">
        <v>0.88194444444444442</v>
      </c>
      <c r="D63" s="205">
        <v>0.89583333333333337</v>
      </c>
      <c r="E63" s="201">
        <f t="shared" si="2"/>
        <v>1.3888888888888951E-2</v>
      </c>
      <c r="F63" s="202" t="s">
        <v>1054</v>
      </c>
      <c r="G63" s="125" t="s">
        <v>1103</v>
      </c>
      <c r="H63" s="204" t="s">
        <v>1102</v>
      </c>
      <c r="I63" s="199"/>
    </row>
    <row r="64" spans="1:9" x14ac:dyDescent="0.3">
      <c r="A64" s="198">
        <v>45840</v>
      </c>
      <c r="B64" s="199" t="s">
        <v>88</v>
      </c>
      <c r="C64" s="205">
        <v>0.89583333333333337</v>
      </c>
      <c r="D64" s="205">
        <v>0.94097222222222221</v>
      </c>
      <c r="E64" s="201">
        <f t="shared" si="2"/>
        <v>4.513888888888884E-2</v>
      </c>
      <c r="F64" s="202" t="s">
        <v>1054</v>
      </c>
      <c r="G64" s="125" t="s">
        <v>1104</v>
      </c>
      <c r="H64" s="199" t="s">
        <v>1089</v>
      </c>
      <c r="I64" s="199"/>
    </row>
    <row r="65" spans="1:9" x14ac:dyDescent="0.3">
      <c r="A65" s="198">
        <v>45840</v>
      </c>
      <c r="B65" s="199" t="s">
        <v>88</v>
      </c>
      <c r="C65" s="205">
        <v>0.94097222222222221</v>
      </c>
      <c r="D65" s="205">
        <v>0.95138888888888884</v>
      </c>
      <c r="E65" s="201">
        <f t="shared" si="2"/>
        <v>1.041666666666663E-2</v>
      </c>
      <c r="F65" s="202" t="s">
        <v>1054</v>
      </c>
      <c r="G65" s="125" t="s">
        <v>1081</v>
      </c>
      <c r="H65" s="204" t="s">
        <v>44</v>
      </c>
      <c r="I65" s="199"/>
    </row>
    <row r="66" spans="1:9" x14ac:dyDescent="0.3">
      <c r="A66" s="198">
        <v>45840</v>
      </c>
      <c r="B66" s="199" t="s">
        <v>88</v>
      </c>
      <c r="C66" s="205">
        <v>0.95138888888888884</v>
      </c>
      <c r="D66" s="205">
        <v>0.97916666666666663</v>
      </c>
      <c r="E66" s="201">
        <f t="shared" si="2"/>
        <v>2.777777777777779E-2</v>
      </c>
      <c r="F66" s="202" t="s">
        <v>1054</v>
      </c>
      <c r="G66" s="125" t="s">
        <v>1082</v>
      </c>
      <c r="H66" s="204" t="s">
        <v>44</v>
      </c>
      <c r="I66" s="199"/>
    </row>
    <row r="67" spans="1:9" x14ac:dyDescent="0.3">
      <c r="A67" s="13"/>
      <c r="B67" s="13"/>
      <c r="C67" s="13"/>
      <c r="D67" s="13"/>
      <c r="E67" s="13"/>
      <c r="F67" s="13"/>
      <c r="G67" s="13"/>
      <c r="H67" s="13"/>
      <c r="I67" s="13"/>
    </row>
    <row r="68" spans="1:9" x14ac:dyDescent="0.3">
      <c r="A68" s="190" t="s">
        <v>1</v>
      </c>
      <c r="B68" s="208" t="s">
        <v>2</v>
      </c>
      <c r="C68" s="209" t="s">
        <v>3</v>
      </c>
      <c r="D68" s="210"/>
      <c r="E68" s="211" t="s">
        <v>4</v>
      </c>
      <c r="F68" s="190" t="s">
        <v>5</v>
      </c>
      <c r="G68" s="190" t="s">
        <v>6</v>
      </c>
      <c r="H68" s="190" t="s">
        <v>7</v>
      </c>
      <c r="I68" s="190" t="s">
        <v>8</v>
      </c>
    </row>
    <row r="69" spans="1:9" x14ac:dyDescent="0.3">
      <c r="A69" s="212"/>
      <c r="B69" s="213"/>
      <c r="C69" s="196" t="s">
        <v>9</v>
      </c>
      <c r="D69" s="196" t="s">
        <v>10</v>
      </c>
      <c r="E69" s="214"/>
      <c r="F69" s="215"/>
      <c r="G69" s="215"/>
      <c r="H69" s="215"/>
      <c r="I69" s="215"/>
    </row>
    <row r="70" spans="1:9" x14ac:dyDescent="0.3">
      <c r="A70" s="198">
        <v>45841</v>
      </c>
      <c r="B70" s="199" t="s">
        <v>91</v>
      </c>
      <c r="C70" s="200">
        <v>0.58333333333333337</v>
      </c>
      <c r="D70" s="200">
        <v>0.59375</v>
      </c>
      <c r="E70" s="201">
        <f t="shared" ref="E70:E86" si="3">D70-C70</f>
        <v>1.041666666666663E-2</v>
      </c>
      <c r="F70" s="202" t="s">
        <v>1054</v>
      </c>
      <c r="G70" s="203" t="s">
        <v>1055</v>
      </c>
      <c r="H70" s="196" t="s">
        <v>1056</v>
      </c>
      <c r="I70" s="216"/>
    </row>
    <row r="71" spans="1:9" x14ac:dyDescent="0.3">
      <c r="A71" s="198">
        <v>45841</v>
      </c>
      <c r="B71" s="199" t="s">
        <v>91</v>
      </c>
      <c r="C71" s="200">
        <v>0.59375</v>
      </c>
      <c r="D71" s="205">
        <v>0.59861111111111109</v>
      </c>
      <c r="E71" s="201">
        <f t="shared" si="3"/>
        <v>4.8611111111110938E-3</v>
      </c>
      <c r="F71" s="202" t="s">
        <v>1054</v>
      </c>
      <c r="G71" s="140" t="s">
        <v>1105</v>
      </c>
      <c r="H71" s="204" t="s">
        <v>44</v>
      </c>
      <c r="I71" s="204"/>
    </row>
    <row r="72" spans="1:9" x14ac:dyDescent="0.3">
      <c r="A72" s="198">
        <v>45841</v>
      </c>
      <c r="B72" s="199" t="s">
        <v>91</v>
      </c>
      <c r="C72" s="205">
        <v>0.59861111111111109</v>
      </c>
      <c r="D72" s="205">
        <v>0.64583333333333337</v>
      </c>
      <c r="E72" s="201">
        <f t="shared" si="3"/>
        <v>4.7222222222222276E-2</v>
      </c>
      <c r="F72" s="202" t="s">
        <v>1054</v>
      </c>
      <c r="G72" s="125" t="s">
        <v>1106</v>
      </c>
      <c r="H72" s="204" t="s">
        <v>44</v>
      </c>
      <c r="I72" s="204"/>
    </row>
    <row r="73" spans="1:9" x14ac:dyDescent="0.3">
      <c r="A73" s="198">
        <v>45841</v>
      </c>
      <c r="B73" s="199" t="s">
        <v>91</v>
      </c>
      <c r="C73" s="205">
        <v>0.64583333333333337</v>
      </c>
      <c r="D73" s="205">
        <v>0.65277777777777779</v>
      </c>
      <c r="E73" s="201">
        <f t="shared" si="3"/>
        <v>6.9444444444444198E-3</v>
      </c>
      <c r="F73" s="202" t="s">
        <v>1054</v>
      </c>
      <c r="G73" s="125" t="s">
        <v>1107</v>
      </c>
      <c r="H73" s="204" t="s">
        <v>44</v>
      </c>
      <c r="I73" s="204"/>
    </row>
    <row r="74" spans="1:9" ht="26.4" x14ac:dyDescent="0.3">
      <c r="A74" s="198">
        <v>45841</v>
      </c>
      <c r="B74" s="199" t="s">
        <v>91</v>
      </c>
      <c r="C74" s="205">
        <v>0.65277777777777779</v>
      </c>
      <c r="D74" s="205">
        <v>0.68055555555555558</v>
      </c>
      <c r="E74" s="201">
        <f t="shared" si="3"/>
        <v>2.777777777777779E-2</v>
      </c>
      <c r="F74" s="202" t="s">
        <v>1054</v>
      </c>
      <c r="G74" s="140" t="s">
        <v>1108</v>
      </c>
      <c r="H74" s="204" t="s">
        <v>44</v>
      </c>
      <c r="I74" s="204"/>
    </row>
    <row r="75" spans="1:9" x14ac:dyDescent="0.3">
      <c r="A75" s="198">
        <v>45841</v>
      </c>
      <c r="B75" s="199" t="s">
        <v>91</v>
      </c>
      <c r="C75" s="205">
        <v>0.68055555555555558</v>
      </c>
      <c r="D75" s="205">
        <v>0.69097222222222221</v>
      </c>
      <c r="E75" s="201">
        <f t="shared" si="3"/>
        <v>1.041666666666663E-2</v>
      </c>
      <c r="F75" s="202" t="s">
        <v>1054</v>
      </c>
      <c r="G75" s="125" t="s">
        <v>1109</v>
      </c>
      <c r="H75" s="199" t="s">
        <v>1065</v>
      </c>
      <c r="I75" s="199"/>
    </row>
    <row r="76" spans="1:9" x14ac:dyDescent="0.3">
      <c r="A76" s="198">
        <v>45841</v>
      </c>
      <c r="B76" s="199" t="s">
        <v>91</v>
      </c>
      <c r="C76" s="205">
        <v>0.69097222222222221</v>
      </c>
      <c r="D76" s="205">
        <v>0.70833333333333337</v>
      </c>
      <c r="E76" s="201">
        <f t="shared" si="3"/>
        <v>1.736111111111116E-2</v>
      </c>
      <c r="F76" s="202" t="s">
        <v>1054</v>
      </c>
      <c r="G76" s="219" t="s">
        <v>1110</v>
      </c>
      <c r="H76" s="199" t="s">
        <v>44</v>
      </c>
      <c r="I76" s="199"/>
    </row>
    <row r="77" spans="1:9" x14ac:dyDescent="0.3">
      <c r="A77" s="198">
        <v>45841</v>
      </c>
      <c r="B77" s="199" t="s">
        <v>91</v>
      </c>
      <c r="C77" s="205">
        <v>0.70833333333333337</v>
      </c>
      <c r="D77" s="205">
        <v>0.73958333333333337</v>
      </c>
      <c r="E77" s="201">
        <f t="shared" si="3"/>
        <v>3.125E-2</v>
      </c>
      <c r="F77" s="202" t="s">
        <v>1054</v>
      </c>
      <c r="G77" s="125" t="s">
        <v>1111</v>
      </c>
      <c r="H77" s="199" t="s">
        <v>1087</v>
      </c>
      <c r="I77" s="199"/>
    </row>
    <row r="78" spans="1:9" x14ac:dyDescent="0.3">
      <c r="A78" s="198">
        <v>45841</v>
      </c>
      <c r="B78" s="199" t="s">
        <v>91</v>
      </c>
      <c r="C78" s="205">
        <v>0.73958333333333337</v>
      </c>
      <c r="D78" s="205">
        <v>0.77083333333333337</v>
      </c>
      <c r="E78" s="201">
        <f t="shared" si="3"/>
        <v>3.125E-2</v>
      </c>
      <c r="F78" s="202" t="s">
        <v>1054</v>
      </c>
      <c r="G78" s="125" t="s">
        <v>755</v>
      </c>
      <c r="H78" s="199" t="s">
        <v>225</v>
      </c>
      <c r="I78" s="199"/>
    </row>
    <row r="79" spans="1:9" x14ac:dyDescent="0.3">
      <c r="A79" s="198">
        <v>45841</v>
      </c>
      <c r="B79" s="199" t="s">
        <v>91</v>
      </c>
      <c r="C79" s="205">
        <v>0.77083333333333337</v>
      </c>
      <c r="D79" s="205">
        <v>0.77430555555555558</v>
      </c>
      <c r="E79" s="201">
        <f t="shared" si="3"/>
        <v>3.4722222222222099E-3</v>
      </c>
      <c r="F79" s="202" t="s">
        <v>1054</v>
      </c>
      <c r="G79" s="125" t="s">
        <v>1112</v>
      </c>
      <c r="H79" s="199" t="s">
        <v>1087</v>
      </c>
      <c r="I79" s="199"/>
    </row>
    <row r="80" spans="1:9" x14ac:dyDescent="0.3">
      <c r="A80" s="198">
        <v>45841</v>
      </c>
      <c r="B80" s="199" t="s">
        <v>91</v>
      </c>
      <c r="C80" s="205">
        <v>0.77430555555555558</v>
      </c>
      <c r="D80" s="205">
        <v>0.91666666666666663</v>
      </c>
      <c r="E80" s="201">
        <f t="shared" si="3"/>
        <v>0.14236111111111105</v>
      </c>
      <c r="F80" s="202" t="s">
        <v>1054</v>
      </c>
      <c r="G80" s="125" t="s">
        <v>1113</v>
      </c>
      <c r="H80" s="199" t="s">
        <v>1114</v>
      </c>
      <c r="I80" s="199"/>
    </row>
    <row r="81" spans="1:9" x14ac:dyDescent="0.3">
      <c r="A81" s="198">
        <v>45841</v>
      </c>
      <c r="B81" s="199" t="s">
        <v>91</v>
      </c>
      <c r="C81" s="205">
        <v>0.91666666666666663</v>
      </c>
      <c r="D81" s="205">
        <v>0.92708333333333337</v>
      </c>
      <c r="E81" s="201">
        <f t="shared" si="3"/>
        <v>1.0416666666666741E-2</v>
      </c>
      <c r="F81" s="202" t="s">
        <v>1054</v>
      </c>
      <c r="G81" s="220" t="s">
        <v>1115</v>
      </c>
      <c r="H81" s="199" t="s">
        <v>1114</v>
      </c>
      <c r="I81" s="199"/>
    </row>
    <row r="82" spans="1:9" x14ac:dyDescent="0.3">
      <c r="A82" s="198">
        <v>45841</v>
      </c>
      <c r="B82" s="199" t="s">
        <v>91</v>
      </c>
      <c r="C82" s="205">
        <v>0.92708333333333337</v>
      </c>
      <c r="D82" s="205">
        <v>0.9375</v>
      </c>
      <c r="E82" s="201">
        <f t="shared" si="3"/>
        <v>1.041666666666663E-2</v>
      </c>
      <c r="F82" s="202" t="s">
        <v>1054</v>
      </c>
      <c r="G82" s="220" t="s">
        <v>1116</v>
      </c>
      <c r="H82" s="199" t="s">
        <v>1114</v>
      </c>
      <c r="I82" s="199"/>
    </row>
    <row r="83" spans="1:9" x14ac:dyDescent="0.3">
      <c r="A83" s="198">
        <v>45841</v>
      </c>
      <c r="B83" s="199" t="s">
        <v>91</v>
      </c>
      <c r="C83" s="205">
        <v>0.9375</v>
      </c>
      <c r="D83" s="205">
        <v>0.94791666666666663</v>
      </c>
      <c r="E83" s="201">
        <f t="shared" si="3"/>
        <v>1.041666666666663E-2</v>
      </c>
      <c r="F83" s="202" t="s">
        <v>1054</v>
      </c>
      <c r="G83" s="221" t="s">
        <v>1117</v>
      </c>
      <c r="H83" s="199" t="s">
        <v>1114</v>
      </c>
      <c r="I83" s="199"/>
    </row>
    <row r="84" spans="1:9" x14ac:dyDescent="0.3">
      <c r="A84" s="198">
        <v>45841</v>
      </c>
      <c r="B84" s="199" t="s">
        <v>91</v>
      </c>
      <c r="C84" s="205">
        <v>0.94791666666666663</v>
      </c>
      <c r="D84" s="205">
        <v>0.95833333333333337</v>
      </c>
      <c r="E84" s="201">
        <f t="shared" si="3"/>
        <v>1.0416666666666741E-2</v>
      </c>
      <c r="F84" s="202" t="s">
        <v>1054</v>
      </c>
      <c r="G84" s="125" t="s">
        <v>1118</v>
      </c>
      <c r="H84" s="199" t="s">
        <v>1087</v>
      </c>
      <c r="I84" s="199"/>
    </row>
    <row r="85" spans="1:9" x14ac:dyDescent="0.3">
      <c r="A85" s="198">
        <v>45841</v>
      </c>
      <c r="B85" s="199" t="s">
        <v>91</v>
      </c>
      <c r="C85" s="205">
        <v>0.95833333333333337</v>
      </c>
      <c r="D85" s="205">
        <v>0.96875</v>
      </c>
      <c r="E85" s="201">
        <f t="shared" si="3"/>
        <v>1.041666666666663E-2</v>
      </c>
      <c r="F85" s="202" t="s">
        <v>1054</v>
      </c>
      <c r="G85" s="125" t="s">
        <v>1081</v>
      </c>
      <c r="H85" s="204" t="s">
        <v>44</v>
      </c>
      <c r="I85" s="199"/>
    </row>
    <row r="86" spans="1:9" x14ac:dyDescent="0.3">
      <c r="A86" s="198">
        <v>45841</v>
      </c>
      <c r="B86" s="199" t="s">
        <v>91</v>
      </c>
      <c r="C86" s="205">
        <v>0.96875</v>
      </c>
      <c r="D86" s="205">
        <v>0.99652777777777779</v>
      </c>
      <c r="E86" s="201">
        <f t="shared" si="3"/>
        <v>2.777777777777779E-2</v>
      </c>
      <c r="F86" s="202" t="s">
        <v>1054</v>
      </c>
      <c r="G86" s="125" t="s">
        <v>1082</v>
      </c>
      <c r="H86" s="204" t="s">
        <v>44</v>
      </c>
      <c r="I86" s="199"/>
    </row>
    <row r="87" spans="1:9" x14ac:dyDescent="0.3">
      <c r="A87" s="13"/>
      <c r="B87" s="13"/>
      <c r="C87" s="13"/>
      <c r="D87" s="13"/>
      <c r="E87" s="13"/>
      <c r="F87" s="13"/>
      <c r="G87" s="13"/>
      <c r="H87" s="13"/>
      <c r="I87" s="13"/>
    </row>
    <row r="88" spans="1:9" x14ac:dyDescent="0.3">
      <c r="A88" s="190" t="s">
        <v>1</v>
      </c>
      <c r="B88" s="208" t="s">
        <v>2</v>
      </c>
      <c r="C88" s="209" t="s">
        <v>3</v>
      </c>
      <c r="D88" s="210"/>
      <c r="E88" s="211" t="s">
        <v>4</v>
      </c>
      <c r="F88" s="190" t="s">
        <v>5</v>
      </c>
      <c r="G88" s="190" t="s">
        <v>6</v>
      </c>
      <c r="H88" s="190" t="s">
        <v>7</v>
      </c>
      <c r="I88" s="190" t="s">
        <v>8</v>
      </c>
    </row>
    <row r="89" spans="1:9" x14ac:dyDescent="0.3">
      <c r="A89" s="212"/>
      <c r="B89" s="213"/>
      <c r="C89" s="196" t="s">
        <v>9</v>
      </c>
      <c r="D89" s="196" t="s">
        <v>10</v>
      </c>
      <c r="E89" s="214"/>
      <c r="F89" s="215"/>
      <c r="G89" s="215"/>
      <c r="H89" s="215"/>
      <c r="I89" s="215"/>
    </row>
    <row r="90" spans="1:9" x14ac:dyDescent="0.3">
      <c r="A90" s="198">
        <v>45842</v>
      </c>
      <c r="B90" s="199" t="s">
        <v>93</v>
      </c>
      <c r="C90" s="200">
        <v>0.58333333333333337</v>
      </c>
      <c r="D90" s="200">
        <v>0.59027777777777779</v>
      </c>
      <c r="E90" s="201">
        <f t="shared" ref="E90:E117" si="4">D90-C90</f>
        <v>6.9444444444444198E-3</v>
      </c>
      <c r="F90" s="202" t="s">
        <v>1054</v>
      </c>
      <c r="G90" s="203" t="s">
        <v>1055</v>
      </c>
      <c r="H90" s="196" t="s">
        <v>1056</v>
      </c>
      <c r="I90" s="216"/>
    </row>
    <row r="91" spans="1:9" x14ac:dyDescent="0.3">
      <c r="A91" s="198">
        <v>45842</v>
      </c>
      <c r="B91" s="199" t="s">
        <v>93</v>
      </c>
      <c r="C91" s="200">
        <v>0.59027777777777779</v>
      </c>
      <c r="D91" s="205">
        <v>0.625</v>
      </c>
      <c r="E91" s="201">
        <f t="shared" si="4"/>
        <v>3.472222222222221E-2</v>
      </c>
      <c r="F91" s="202" t="s">
        <v>1054</v>
      </c>
      <c r="G91" s="140" t="s">
        <v>1119</v>
      </c>
      <c r="H91" s="204" t="s">
        <v>1120</v>
      </c>
      <c r="I91" s="204"/>
    </row>
    <row r="92" spans="1:9" x14ac:dyDescent="0.3">
      <c r="A92" s="198">
        <v>45842</v>
      </c>
      <c r="B92" s="199" t="s">
        <v>93</v>
      </c>
      <c r="C92" s="205">
        <v>0.625</v>
      </c>
      <c r="D92" s="205">
        <v>0.62847222222222221</v>
      </c>
      <c r="E92" s="201">
        <f t="shared" si="4"/>
        <v>3.4722222222222099E-3</v>
      </c>
      <c r="F92" s="202" t="s">
        <v>1054</v>
      </c>
      <c r="G92" s="125" t="s">
        <v>1084</v>
      </c>
      <c r="H92" s="204" t="s">
        <v>44</v>
      </c>
      <c r="I92" s="204"/>
    </row>
    <row r="93" spans="1:9" x14ac:dyDescent="0.3">
      <c r="A93" s="198">
        <v>45842</v>
      </c>
      <c r="B93" s="199" t="s">
        <v>93</v>
      </c>
      <c r="C93" s="205">
        <v>0.62847222222222221</v>
      </c>
      <c r="D93" s="205">
        <v>0.63124999999999998</v>
      </c>
      <c r="E93" s="201">
        <f t="shared" si="4"/>
        <v>2.7777777777777679E-3</v>
      </c>
      <c r="F93" s="222" t="s">
        <v>1054</v>
      </c>
      <c r="G93" s="125" t="s">
        <v>1121</v>
      </c>
      <c r="H93" s="204" t="s">
        <v>44</v>
      </c>
      <c r="I93" s="204"/>
    </row>
    <row r="94" spans="1:9" x14ac:dyDescent="0.3">
      <c r="A94" s="198">
        <v>45842</v>
      </c>
      <c r="B94" s="199" t="s">
        <v>93</v>
      </c>
      <c r="C94" s="205">
        <v>0.63124999999999998</v>
      </c>
      <c r="D94" s="205">
        <v>0.65277777777777779</v>
      </c>
      <c r="E94" s="201">
        <f t="shared" si="4"/>
        <v>2.1527777777777812E-2</v>
      </c>
      <c r="F94" s="196" t="s">
        <v>1054</v>
      </c>
      <c r="G94" s="223" t="s">
        <v>1122</v>
      </c>
      <c r="H94" s="204" t="s">
        <v>44</v>
      </c>
      <c r="I94" s="204"/>
    </row>
    <row r="95" spans="1:9" x14ac:dyDescent="0.3">
      <c r="A95" s="198">
        <v>45842</v>
      </c>
      <c r="B95" s="199" t="s">
        <v>93</v>
      </c>
      <c r="C95" s="205">
        <v>0.65277777777777779</v>
      </c>
      <c r="D95" s="205">
        <v>0.65625</v>
      </c>
      <c r="E95" s="201">
        <f t="shared" si="4"/>
        <v>3.4722222222222099E-3</v>
      </c>
      <c r="F95" s="224" t="s">
        <v>1054</v>
      </c>
      <c r="G95" s="125" t="s">
        <v>1123</v>
      </c>
      <c r="H95" s="204" t="s">
        <v>44</v>
      </c>
      <c r="I95" s="199"/>
    </row>
    <row r="96" spans="1:9" x14ac:dyDescent="0.3">
      <c r="A96" s="198">
        <v>45842</v>
      </c>
      <c r="B96" s="199" t="s">
        <v>93</v>
      </c>
      <c r="C96" s="205">
        <v>0.65625</v>
      </c>
      <c r="D96" s="205">
        <v>0.66666666666666663</v>
      </c>
      <c r="E96" s="201">
        <f t="shared" si="4"/>
        <v>1.041666666666663E-2</v>
      </c>
      <c r="F96" s="202" t="s">
        <v>1054</v>
      </c>
      <c r="G96" s="219" t="s">
        <v>1124</v>
      </c>
      <c r="H96" s="199" t="s">
        <v>44</v>
      </c>
      <c r="I96" s="199"/>
    </row>
    <row r="97" spans="1:9" x14ac:dyDescent="0.3">
      <c r="A97" s="198">
        <v>45842</v>
      </c>
      <c r="B97" s="199" t="s">
        <v>93</v>
      </c>
      <c r="C97" s="205">
        <v>0.66666666666666663</v>
      </c>
      <c r="D97" s="205">
        <v>0.67708333333333337</v>
      </c>
      <c r="E97" s="201">
        <f t="shared" si="4"/>
        <v>1.0416666666666741E-2</v>
      </c>
      <c r="F97" s="202" t="s">
        <v>1054</v>
      </c>
      <c r="G97" s="125" t="s">
        <v>1109</v>
      </c>
      <c r="H97" s="199" t="s">
        <v>1065</v>
      </c>
      <c r="I97" s="199"/>
    </row>
    <row r="98" spans="1:9" x14ac:dyDescent="0.3">
      <c r="A98" s="198">
        <v>45842</v>
      </c>
      <c r="B98" s="199" t="s">
        <v>93</v>
      </c>
      <c r="C98" s="205">
        <v>0.67708333333333337</v>
      </c>
      <c r="D98" s="205">
        <v>0.68055555555555558</v>
      </c>
      <c r="E98" s="201">
        <f t="shared" si="4"/>
        <v>3.4722222222222099E-3</v>
      </c>
      <c r="F98" s="202" t="s">
        <v>1054</v>
      </c>
      <c r="G98" s="125" t="s">
        <v>1125</v>
      </c>
      <c r="H98" s="204" t="s">
        <v>44</v>
      </c>
      <c r="I98" s="199"/>
    </row>
    <row r="99" spans="1:9" x14ac:dyDescent="0.3">
      <c r="A99" s="198">
        <v>45842</v>
      </c>
      <c r="B99" s="199" t="s">
        <v>93</v>
      </c>
      <c r="C99" s="205">
        <v>0.68055555555555558</v>
      </c>
      <c r="D99" s="205">
        <v>0.72916666666666663</v>
      </c>
      <c r="E99" s="201">
        <f t="shared" si="4"/>
        <v>4.8611111111111049E-2</v>
      </c>
      <c r="F99" s="202" t="s">
        <v>1054</v>
      </c>
      <c r="G99" s="125" t="s">
        <v>1126</v>
      </c>
      <c r="H99" s="199" t="s">
        <v>673</v>
      </c>
      <c r="I99" s="199"/>
    </row>
    <row r="100" spans="1:9" x14ac:dyDescent="0.3">
      <c r="A100" s="198">
        <v>45842</v>
      </c>
      <c r="B100" s="199" t="s">
        <v>93</v>
      </c>
      <c r="C100" s="205">
        <v>0.72916666666666663</v>
      </c>
      <c r="D100" s="205">
        <v>0.76041666666666663</v>
      </c>
      <c r="E100" s="201">
        <f t="shared" si="4"/>
        <v>3.125E-2</v>
      </c>
      <c r="F100" s="202" t="s">
        <v>1054</v>
      </c>
      <c r="G100" s="125" t="s">
        <v>1127</v>
      </c>
      <c r="H100" s="199" t="s">
        <v>1114</v>
      </c>
      <c r="I100" s="199"/>
    </row>
    <row r="101" spans="1:9" x14ac:dyDescent="0.3">
      <c r="A101" s="198">
        <v>45842</v>
      </c>
      <c r="B101" s="199" t="s">
        <v>93</v>
      </c>
      <c r="C101" s="205">
        <v>0.76041666666666663</v>
      </c>
      <c r="D101" s="205">
        <v>0.79166666666666663</v>
      </c>
      <c r="E101" s="201">
        <f t="shared" si="4"/>
        <v>3.125E-2</v>
      </c>
      <c r="F101" s="202" t="s">
        <v>1054</v>
      </c>
      <c r="G101" s="125" t="s">
        <v>755</v>
      </c>
      <c r="H101" s="199" t="s">
        <v>225</v>
      </c>
      <c r="I101" s="199"/>
    </row>
    <row r="102" spans="1:9" x14ac:dyDescent="0.3">
      <c r="A102" s="198">
        <v>45842</v>
      </c>
      <c r="B102" s="199" t="s">
        <v>93</v>
      </c>
      <c r="C102" s="205">
        <v>0.79166666666666663</v>
      </c>
      <c r="D102" s="205">
        <v>0.79513888888888884</v>
      </c>
      <c r="E102" s="201">
        <f t="shared" si="4"/>
        <v>3.4722222222222099E-3</v>
      </c>
      <c r="F102" s="202" t="s">
        <v>1054</v>
      </c>
      <c r="G102" s="220" t="s">
        <v>22</v>
      </c>
      <c r="H102" s="204" t="s">
        <v>44</v>
      </c>
      <c r="I102" s="199"/>
    </row>
    <row r="103" spans="1:9" x14ac:dyDescent="0.3">
      <c r="A103" s="198">
        <v>45842</v>
      </c>
      <c r="B103" s="199" t="s">
        <v>93</v>
      </c>
      <c r="C103" s="205">
        <v>0.79513888888888884</v>
      </c>
      <c r="D103" s="205">
        <v>0.79861111111111116</v>
      </c>
      <c r="E103" s="201">
        <f t="shared" si="4"/>
        <v>3.4722222222223209E-3</v>
      </c>
      <c r="F103" s="202" t="s">
        <v>1054</v>
      </c>
      <c r="G103" s="221" t="s">
        <v>1128</v>
      </c>
      <c r="H103" s="204" t="s">
        <v>44</v>
      </c>
      <c r="I103" s="199"/>
    </row>
    <row r="104" spans="1:9" x14ac:dyDescent="0.3">
      <c r="A104" s="198">
        <v>45842</v>
      </c>
      <c r="B104" s="199" t="s">
        <v>93</v>
      </c>
      <c r="C104" s="205">
        <v>0.79861111111111116</v>
      </c>
      <c r="D104" s="205">
        <v>0.80208333333333337</v>
      </c>
      <c r="E104" s="201">
        <f t="shared" si="4"/>
        <v>3.4722222222222099E-3</v>
      </c>
      <c r="F104" s="202" t="s">
        <v>1054</v>
      </c>
      <c r="G104" s="125" t="s">
        <v>1129</v>
      </c>
      <c r="H104" s="204" t="s">
        <v>44</v>
      </c>
      <c r="I104" s="199"/>
    </row>
    <row r="105" spans="1:9" x14ac:dyDescent="0.3">
      <c r="A105" s="198">
        <v>45842</v>
      </c>
      <c r="B105" s="199" t="s">
        <v>93</v>
      </c>
      <c r="C105" s="205">
        <v>0.80208333333333337</v>
      </c>
      <c r="D105" s="205">
        <v>0.80555555555555558</v>
      </c>
      <c r="E105" s="201">
        <f t="shared" si="4"/>
        <v>3.4722222222222099E-3</v>
      </c>
      <c r="F105" s="202" t="s">
        <v>1054</v>
      </c>
      <c r="G105" s="125" t="s">
        <v>1130</v>
      </c>
      <c r="H105" s="204" t="s">
        <v>44</v>
      </c>
      <c r="I105" s="199"/>
    </row>
    <row r="106" spans="1:9" x14ac:dyDescent="0.3">
      <c r="A106" s="198">
        <v>45842</v>
      </c>
      <c r="B106" s="199" t="s">
        <v>93</v>
      </c>
      <c r="C106" s="205">
        <v>0.80555555555555558</v>
      </c>
      <c r="D106" s="205">
        <v>0.81944444444444442</v>
      </c>
      <c r="E106" s="201">
        <f t="shared" si="4"/>
        <v>1.388888888888884E-2</v>
      </c>
      <c r="F106" s="202" t="s">
        <v>1054</v>
      </c>
      <c r="G106" s="125" t="s">
        <v>1131</v>
      </c>
      <c r="H106" s="199" t="s">
        <v>673</v>
      </c>
      <c r="I106" s="199"/>
    </row>
    <row r="107" spans="1:9" x14ac:dyDescent="0.3">
      <c r="A107" s="198">
        <v>45842</v>
      </c>
      <c r="B107" s="199" t="s">
        <v>93</v>
      </c>
      <c r="C107" s="205">
        <v>0.81944444444444442</v>
      </c>
      <c r="D107" s="205">
        <v>0.83333333333333337</v>
      </c>
      <c r="E107" s="201">
        <f t="shared" si="4"/>
        <v>1.3888888888888951E-2</v>
      </c>
      <c r="F107" s="202" t="s">
        <v>1054</v>
      </c>
      <c r="G107" s="225" t="s">
        <v>1132</v>
      </c>
      <c r="H107" s="199" t="s">
        <v>673</v>
      </c>
      <c r="I107" s="199"/>
    </row>
    <row r="108" spans="1:9" x14ac:dyDescent="0.3">
      <c r="A108" s="198">
        <v>45842</v>
      </c>
      <c r="B108" s="199" t="s">
        <v>93</v>
      </c>
      <c r="C108" s="205">
        <v>0.83333333333333337</v>
      </c>
      <c r="D108" s="205">
        <v>0.84027777777777779</v>
      </c>
      <c r="E108" s="201">
        <f t="shared" si="4"/>
        <v>6.9444444444444198E-3</v>
      </c>
      <c r="F108" s="202" t="s">
        <v>1054</v>
      </c>
      <c r="G108" s="125" t="s">
        <v>1133</v>
      </c>
      <c r="H108" s="204" t="s">
        <v>44</v>
      </c>
      <c r="I108" s="199"/>
    </row>
    <row r="109" spans="1:9" x14ac:dyDescent="0.3">
      <c r="A109" s="198">
        <v>45842</v>
      </c>
      <c r="B109" s="199" t="s">
        <v>93</v>
      </c>
      <c r="C109" s="205">
        <v>0.84027777777777779</v>
      </c>
      <c r="D109" s="205">
        <v>0.85416666666666663</v>
      </c>
      <c r="E109" s="201">
        <f t="shared" si="4"/>
        <v>1.388888888888884E-2</v>
      </c>
      <c r="F109" s="202" t="s">
        <v>1054</v>
      </c>
      <c r="G109" s="125" t="s">
        <v>1134</v>
      </c>
      <c r="H109" s="204" t="s">
        <v>44</v>
      </c>
      <c r="I109" s="199"/>
    </row>
    <row r="110" spans="1:9" x14ac:dyDescent="0.3">
      <c r="A110" s="198">
        <v>45842</v>
      </c>
      <c r="B110" s="199" t="s">
        <v>93</v>
      </c>
      <c r="C110" s="205">
        <v>0.85416666666666663</v>
      </c>
      <c r="D110" s="205">
        <v>0.86458333333333337</v>
      </c>
      <c r="E110" s="201">
        <f t="shared" si="4"/>
        <v>1.0416666666666741E-2</v>
      </c>
      <c r="F110" s="202" t="s">
        <v>1054</v>
      </c>
      <c r="G110" s="125" t="s">
        <v>1135</v>
      </c>
      <c r="H110" s="204" t="s">
        <v>44</v>
      </c>
      <c r="I110" s="199"/>
    </row>
    <row r="111" spans="1:9" x14ac:dyDescent="0.3">
      <c r="A111" s="198">
        <v>45842</v>
      </c>
      <c r="B111" s="199" t="s">
        <v>93</v>
      </c>
      <c r="C111" s="205">
        <v>0.86458333333333337</v>
      </c>
      <c r="D111" s="205">
        <v>0.87152777777777779</v>
      </c>
      <c r="E111" s="201">
        <f t="shared" si="4"/>
        <v>6.9444444444444198E-3</v>
      </c>
      <c r="F111" s="202" t="s">
        <v>1054</v>
      </c>
      <c r="G111" s="125" t="s">
        <v>1136</v>
      </c>
      <c r="H111" s="204" t="s">
        <v>44</v>
      </c>
      <c r="I111" s="199"/>
    </row>
    <row r="112" spans="1:9" x14ac:dyDescent="0.3">
      <c r="A112" s="198">
        <v>45842</v>
      </c>
      <c r="B112" s="199" t="s">
        <v>93</v>
      </c>
      <c r="C112" s="205">
        <v>0.87152777777777779</v>
      </c>
      <c r="D112" s="205">
        <v>0.87847222222222221</v>
      </c>
      <c r="E112" s="201">
        <f t="shared" si="4"/>
        <v>6.9444444444444198E-3</v>
      </c>
      <c r="F112" s="202" t="s">
        <v>1054</v>
      </c>
      <c r="G112" s="219" t="s">
        <v>1124</v>
      </c>
      <c r="H112" s="204" t="s">
        <v>44</v>
      </c>
      <c r="I112" s="199"/>
    </row>
    <row r="113" spans="1:9" x14ac:dyDescent="0.3">
      <c r="A113" s="198">
        <v>45842</v>
      </c>
      <c r="B113" s="199" t="s">
        <v>93</v>
      </c>
      <c r="C113" s="205">
        <v>0.87847222222222221</v>
      </c>
      <c r="D113" s="205">
        <v>0.88888888888888884</v>
      </c>
      <c r="E113" s="201">
        <f t="shared" si="4"/>
        <v>1.041666666666663E-2</v>
      </c>
      <c r="F113" s="202" t="s">
        <v>1054</v>
      </c>
      <c r="G113" s="125" t="s">
        <v>1137</v>
      </c>
      <c r="H113" s="204" t="s">
        <v>44</v>
      </c>
      <c r="I113" s="199"/>
    </row>
    <row r="114" spans="1:9" x14ac:dyDescent="0.3">
      <c r="A114" s="198">
        <v>45842</v>
      </c>
      <c r="B114" s="199" t="s">
        <v>93</v>
      </c>
      <c r="C114" s="205">
        <v>0.88888888888888884</v>
      </c>
      <c r="D114" s="205">
        <v>0.89583333333333337</v>
      </c>
      <c r="E114" s="201">
        <f t="shared" si="4"/>
        <v>6.9444444444445308E-3</v>
      </c>
      <c r="F114" s="202" t="s">
        <v>1054</v>
      </c>
      <c r="G114" s="125" t="s">
        <v>1138</v>
      </c>
      <c r="H114" s="204" t="s">
        <v>44</v>
      </c>
      <c r="I114" s="199"/>
    </row>
    <row r="115" spans="1:9" x14ac:dyDescent="0.3">
      <c r="A115" s="198">
        <v>45842</v>
      </c>
      <c r="B115" s="199" t="s">
        <v>93</v>
      </c>
      <c r="C115" s="205">
        <v>0.89583333333333337</v>
      </c>
      <c r="D115" s="205">
        <v>0.9375</v>
      </c>
      <c r="E115" s="201">
        <f t="shared" si="4"/>
        <v>4.166666666666663E-2</v>
      </c>
      <c r="F115" s="202" t="s">
        <v>1054</v>
      </c>
      <c r="G115" s="125" t="s">
        <v>1139</v>
      </c>
      <c r="H115" s="204" t="s">
        <v>1120</v>
      </c>
      <c r="I115" s="199"/>
    </row>
    <row r="116" spans="1:9" x14ac:dyDescent="0.3">
      <c r="A116" s="198">
        <v>45842</v>
      </c>
      <c r="B116" s="199" t="s">
        <v>93</v>
      </c>
      <c r="C116" s="205">
        <v>0.9375</v>
      </c>
      <c r="D116" s="205">
        <v>0.94791666666666663</v>
      </c>
      <c r="E116" s="201">
        <f t="shared" si="4"/>
        <v>1.041666666666663E-2</v>
      </c>
      <c r="F116" s="202" t="s">
        <v>1054</v>
      </c>
      <c r="G116" s="125" t="s">
        <v>1081</v>
      </c>
      <c r="H116" s="204" t="s">
        <v>44</v>
      </c>
      <c r="I116" s="199"/>
    </row>
    <row r="117" spans="1:9" x14ac:dyDescent="0.3">
      <c r="A117" s="198">
        <v>45842</v>
      </c>
      <c r="B117" s="199" t="s">
        <v>93</v>
      </c>
      <c r="C117" s="205">
        <v>0.94791666666666663</v>
      </c>
      <c r="D117" s="205">
        <v>0.97222222222222221</v>
      </c>
      <c r="E117" s="201">
        <f t="shared" si="4"/>
        <v>2.430555555555558E-2</v>
      </c>
      <c r="F117" s="202" t="s">
        <v>1054</v>
      </c>
      <c r="G117" s="125" t="s">
        <v>1140</v>
      </c>
      <c r="H117" s="204" t="s">
        <v>1120</v>
      </c>
      <c r="I117" s="199"/>
    </row>
    <row r="118" spans="1:9" x14ac:dyDescent="0.3">
      <c r="A118" s="13"/>
      <c r="B118" s="13"/>
      <c r="C118" s="13"/>
      <c r="D118" s="13"/>
      <c r="E118" s="13"/>
      <c r="F118" s="13"/>
      <c r="G118" s="13"/>
      <c r="H118" s="13"/>
      <c r="I118" s="13"/>
    </row>
    <row r="119" spans="1:9" x14ac:dyDescent="0.3">
      <c r="A119" s="190" t="s">
        <v>1</v>
      </c>
      <c r="B119" s="208" t="s">
        <v>2</v>
      </c>
      <c r="C119" s="209" t="s">
        <v>3</v>
      </c>
      <c r="D119" s="210"/>
      <c r="E119" s="211" t="s">
        <v>4</v>
      </c>
      <c r="F119" s="190" t="s">
        <v>5</v>
      </c>
      <c r="G119" s="190" t="s">
        <v>6</v>
      </c>
      <c r="H119" s="190" t="s">
        <v>7</v>
      </c>
      <c r="I119" s="190" t="s">
        <v>8</v>
      </c>
    </row>
    <row r="120" spans="1:9" x14ac:dyDescent="0.3">
      <c r="A120" s="212"/>
      <c r="B120" s="213"/>
      <c r="C120" s="196" t="s">
        <v>9</v>
      </c>
      <c r="D120" s="196" t="s">
        <v>10</v>
      </c>
      <c r="E120" s="214"/>
      <c r="F120" s="215"/>
      <c r="G120" s="215"/>
      <c r="H120" s="215"/>
      <c r="I120" s="215"/>
    </row>
    <row r="121" spans="1:9" x14ac:dyDescent="0.3">
      <c r="A121" s="198">
        <v>45843</v>
      </c>
      <c r="B121" s="199" t="s">
        <v>311</v>
      </c>
      <c r="C121" s="200">
        <v>0.58333333333333337</v>
      </c>
      <c r="D121" s="200">
        <v>0.59027777777777779</v>
      </c>
      <c r="E121" s="201">
        <f t="shared" ref="E121:E142" si="5">D121-C121</f>
        <v>6.9444444444444198E-3</v>
      </c>
      <c r="F121" s="202" t="s">
        <v>1054</v>
      </c>
      <c r="G121" s="203" t="s">
        <v>1055</v>
      </c>
      <c r="H121" s="196" t="s">
        <v>1056</v>
      </c>
      <c r="I121" s="216"/>
    </row>
    <row r="122" spans="1:9" x14ac:dyDescent="0.3">
      <c r="A122" s="198">
        <v>45843</v>
      </c>
      <c r="B122" s="199" t="s">
        <v>311</v>
      </c>
      <c r="C122" s="200">
        <v>0.59027777777777779</v>
      </c>
      <c r="D122" s="205">
        <v>0.59722222222222221</v>
      </c>
      <c r="E122" s="201">
        <f t="shared" si="5"/>
        <v>6.9444444444444198E-3</v>
      </c>
      <c r="F122" s="202" t="s">
        <v>1054</v>
      </c>
      <c r="G122" s="125" t="s">
        <v>1084</v>
      </c>
      <c r="H122" s="204" t="s">
        <v>1120</v>
      </c>
      <c r="I122" s="204"/>
    </row>
    <row r="123" spans="1:9" x14ac:dyDescent="0.3">
      <c r="A123" s="198">
        <v>45843</v>
      </c>
      <c r="B123" s="199" t="s">
        <v>311</v>
      </c>
      <c r="C123" s="205">
        <v>0.59722222222222221</v>
      </c>
      <c r="D123" s="205">
        <v>0.61111111111111116</v>
      </c>
      <c r="E123" s="201">
        <f t="shared" si="5"/>
        <v>1.3888888888888951E-2</v>
      </c>
      <c r="F123" s="202" t="s">
        <v>1054</v>
      </c>
      <c r="G123" s="125" t="s">
        <v>1141</v>
      </c>
      <c r="H123" s="199" t="s">
        <v>1142</v>
      </c>
      <c r="I123" s="204"/>
    </row>
    <row r="124" spans="1:9" x14ac:dyDescent="0.3">
      <c r="A124" s="198">
        <v>45843</v>
      </c>
      <c r="B124" s="199" t="s">
        <v>311</v>
      </c>
      <c r="C124" s="205">
        <v>0.61111111111111116</v>
      </c>
      <c r="D124" s="205">
        <v>0.625</v>
      </c>
      <c r="E124" s="201">
        <f t="shared" si="5"/>
        <v>1.388888888888884E-2</v>
      </c>
      <c r="F124" s="222" t="s">
        <v>1054</v>
      </c>
      <c r="G124" s="125" t="s">
        <v>1143</v>
      </c>
      <c r="H124" s="199" t="s">
        <v>1142</v>
      </c>
      <c r="I124" s="204"/>
    </row>
    <row r="125" spans="1:9" x14ac:dyDescent="0.3">
      <c r="A125" s="198">
        <v>45843</v>
      </c>
      <c r="B125" s="199" t="s">
        <v>311</v>
      </c>
      <c r="C125" s="205">
        <v>0.625</v>
      </c>
      <c r="D125" s="205">
        <v>0.64236111111111116</v>
      </c>
      <c r="E125" s="201">
        <f t="shared" si="5"/>
        <v>1.736111111111116E-2</v>
      </c>
      <c r="F125" s="196" t="s">
        <v>1054</v>
      </c>
      <c r="G125" s="223" t="s">
        <v>1144</v>
      </c>
      <c r="H125" s="199" t="s">
        <v>1142</v>
      </c>
      <c r="I125" s="204"/>
    </row>
    <row r="126" spans="1:9" x14ac:dyDescent="0.3">
      <c r="A126" s="198">
        <v>45843</v>
      </c>
      <c r="B126" s="199" t="s">
        <v>311</v>
      </c>
      <c r="C126" s="205">
        <v>0.64236111111111116</v>
      </c>
      <c r="D126" s="205">
        <v>0.65277777777777779</v>
      </c>
      <c r="E126" s="201">
        <f t="shared" si="5"/>
        <v>1.041666666666663E-2</v>
      </c>
      <c r="F126" s="224" t="s">
        <v>1054</v>
      </c>
      <c r="G126" s="125" t="s">
        <v>1145</v>
      </c>
      <c r="H126" s="199" t="s">
        <v>1142</v>
      </c>
      <c r="I126" s="199"/>
    </row>
    <row r="127" spans="1:9" x14ac:dyDescent="0.3">
      <c r="A127" s="198">
        <v>45843</v>
      </c>
      <c r="B127" s="199" t="s">
        <v>311</v>
      </c>
      <c r="C127" s="205">
        <v>0.65277777777777779</v>
      </c>
      <c r="D127" s="205">
        <v>0.66319444444444442</v>
      </c>
      <c r="E127" s="201">
        <f t="shared" si="5"/>
        <v>1.041666666666663E-2</v>
      </c>
      <c r="F127" s="202" t="s">
        <v>1054</v>
      </c>
      <c r="G127" s="125" t="s">
        <v>1109</v>
      </c>
      <c r="H127" s="199" t="s">
        <v>1065</v>
      </c>
      <c r="I127" s="199"/>
    </row>
    <row r="128" spans="1:9" x14ac:dyDescent="0.3">
      <c r="A128" s="198">
        <v>45843</v>
      </c>
      <c r="B128" s="199" t="s">
        <v>311</v>
      </c>
      <c r="C128" s="205">
        <v>0.66319444444444442</v>
      </c>
      <c r="D128" s="205">
        <v>0.67708333333333337</v>
      </c>
      <c r="E128" s="201">
        <f t="shared" si="5"/>
        <v>1.3888888888888951E-2</v>
      </c>
      <c r="F128" s="202" t="s">
        <v>1054</v>
      </c>
      <c r="G128" s="125" t="s">
        <v>1146</v>
      </c>
      <c r="H128" s="199" t="s">
        <v>1065</v>
      </c>
      <c r="I128" s="199"/>
    </row>
    <row r="129" spans="1:9" x14ac:dyDescent="0.3">
      <c r="A129" s="198">
        <v>45843</v>
      </c>
      <c r="B129" s="199" t="s">
        <v>311</v>
      </c>
      <c r="C129" s="205">
        <v>0.67708333333333337</v>
      </c>
      <c r="D129" s="205">
        <v>0.75347222222222221</v>
      </c>
      <c r="E129" s="201">
        <f t="shared" si="5"/>
        <v>7.638888888888884E-2</v>
      </c>
      <c r="F129" s="202" t="s">
        <v>1054</v>
      </c>
      <c r="G129" s="125" t="s">
        <v>1147</v>
      </c>
      <c r="H129" s="204" t="s">
        <v>44</v>
      </c>
      <c r="I129" s="199"/>
    </row>
    <row r="130" spans="1:9" x14ac:dyDescent="0.3">
      <c r="A130" s="198">
        <v>45843</v>
      </c>
      <c r="B130" s="199" t="s">
        <v>311</v>
      </c>
      <c r="C130" s="205">
        <v>0.75347222222222221</v>
      </c>
      <c r="D130" s="205">
        <v>0.79166666666666663</v>
      </c>
      <c r="E130" s="201">
        <f t="shared" si="5"/>
        <v>3.819444444444442E-2</v>
      </c>
      <c r="F130" s="202" t="s">
        <v>1054</v>
      </c>
      <c r="G130" s="125" t="s">
        <v>755</v>
      </c>
      <c r="H130" s="199" t="s">
        <v>225</v>
      </c>
      <c r="I130" s="199"/>
    </row>
    <row r="131" spans="1:9" x14ac:dyDescent="0.3">
      <c r="A131" s="198">
        <v>45843</v>
      </c>
      <c r="B131" s="199" t="s">
        <v>311</v>
      </c>
      <c r="C131" s="205">
        <v>0.79166666666666663</v>
      </c>
      <c r="D131" s="205">
        <v>0.80208333333333337</v>
      </c>
      <c r="E131" s="201">
        <f t="shared" si="5"/>
        <v>1.0416666666666741E-2</v>
      </c>
      <c r="F131" s="202" t="s">
        <v>1054</v>
      </c>
      <c r="G131" s="125" t="s">
        <v>1148</v>
      </c>
      <c r="H131" s="199" t="s">
        <v>1142</v>
      </c>
      <c r="I131" s="199"/>
    </row>
    <row r="132" spans="1:9" x14ac:dyDescent="0.3">
      <c r="A132" s="198">
        <v>45843</v>
      </c>
      <c r="B132" s="199" t="s">
        <v>311</v>
      </c>
      <c r="C132" s="205">
        <v>0.80208333333333337</v>
      </c>
      <c r="D132" s="205">
        <v>0.8125</v>
      </c>
      <c r="E132" s="201">
        <f t="shared" si="5"/>
        <v>1.041666666666663E-2</v>
      </c>
      <c r="F132" s="202" t="s">
        <v>1054</v>
      </c>
      <c r="G132" s="125" t="s">
        <v>1149</v>
      </c>
      <c r="H132" s="199" t="s">
        <v>225</v>
      </c>
      <c r="I132" s="199"/>
    </row>
    <row r="133" spans="1:9" x14ac:dyDescent="0.3">
      <c r="A133" s="198">
        <v>45843</v>
      </c>
      <c r="B133" s="199" t="s">
        <v>311</v>
      </c>
      <c r="C133" s="205">
        <v>0.8125</v>
      </c>
      <c r="D133" s="205">
        <v>0.84375</v>
      </c>
      <c r="E133" s="201">
        <f t="shared" si="5"/>
        <v>3.125E-2</v>
      </c>
      <c r="F133" s="202" t="s">
        <v>1054</v>
      </c>
      <c r="G133" s="220" t="s">
        <v>1150</v>
      </c>
      <c r="H133" s="199" t="s">
        <v>673</v>
      </c>
      <c r="I133" s="199"/>
    </row>
    <row r="134" spans="1:9" x14ac:dyDescent="0.3">
      <c r="A134" s="198">
        <v>45843</v>
      </c>
      <c r="B134" s="199" t="s">
        <v>311</v>
      </c>
      <c r="C134" s="205">
        <v>0.84375</v>
      </c>
      <c r="D134" s="205">
        <v>0.84722222222222221</v>
      </c>
      <c r="E134" s="201">
        <f t="shared" si="5"/>
        <v>3.4722222222222099E-3</v>
      </c>
      <c r="F134" s="202" t="s">
        <v>1054</v>
      </c>
      <c r="G134" s="221" t="s">
        <v>1151</v>
      </c>
      <c r="H134" s="204" t="s">
        <v>44</v>
      </c>
      <c r="I134" s="199"/>
    </row>
    <row r="135" spans="1:9" x14ac:dyDescent="0.3">
      <c r="A135" s="198">
        <v>45843</v>
      </c>
      <c r="B135" s="199" t="s">
        <v>311</v>
      </c>
      <c r="C135" s="205">
        <v>0.84722222222222221</v>
      </c>
      <c r="D135" s="205">
        <v>0.86111111111111116</v>
      </c>
      <c r="E135" s="201">
        <f t="shared" si="5"/>
        <v>1.3888888888888951E-2</v>
      </c>
      <c r="F135" s="202" t="s">
        <v>1054</v>
      </c>
      <c r="G135" s="125" t="s">
        <v>1152</v>
      </c>
      <c r="H135" s="204" t="s">
        <v>44</v>
      </c>
      <c r="I135" s="199"/>
    </row>
    <row r="136" spans="1:9" x14ac:dyDescent="0.3">
      <c r="A136" s="198">
        <v>45843</v>
      </c>
      <c r="B136" s="199" t="s">
        <v>311</v>
      </c>
      <c r="C136" s="205">
        <v>0.86111111111111116</v>
      </c>
      <c r="D136" s="205">
        <v>0.87152777777777779</v>
      </c>
      <c r="E136" s="201">
        <f t="shared" si="5"/>
        <v>1.041666666666663E-2</v>
      </c>
      <c r="F136" s="202" t="s">
        <v>1054</v>
      </c>
      <c r="G136" s="125" t="s">
        <v>1153</v>
      </c>
      <c r="H136" s="204" t="s">
        <v>44</v>
      </c>
      <c r="I136" s="199"/>
    </row>
    <row r="137" spans="1:9" x14ac:dyDescent="0.3">
      <c r="A137" s="198">
        <v>45843</v>
      </c>
      <c r="B137" s="199" t="s">
        <v>311</v>
      </c>
      <c r="C137" s="205">
        <v>0.87152777777777779</v>
      </c>
      <c r="D137" s="205">
        <v>0.875</v>
      </c>
      <c r="E137" s="201">
        <f t="shared" si="5"/>
        <v>3.4722222222222099E-3</v>
      </c>
      <c r="F137" s="202" t="s">
        <v>1054</v>
      </c>
      <c r="G137" s="125" t="s">
        <v>1154</v>
      </c>
      <c r="H137" s="204" t="s">
        <v>44</v>
      </c>
      <c r="I137" s="199"/>
    </row>
    <row r="138" spans="1:9" ht="16.5" customHeight="1" x14ac:dyDescent="0.3">
      <c r="A138" s="198">
        <v>45843</v>
      </c>
      <c r="B138" s="199" t="s">
        <v>311</v>
      </c>
      <c r="C138" s="205">
        <v>0.875</v>
      </c>
      <c r="D138" s="205">
        <v>0.89583333333333337</v>
      </c>
      <c r="E138" s="201">
        <f t="shared" si="5"/>
        <v>2.083333333333337E-2</v>
      </c>
      <c r="F138" s="202" t="s">
        <v>1054</v>
      </c>
      <c r="G138" s="226" t="s">
        <v>1155</v>
      </c>
      <c r="H138" s="199" t="s">
        <v>673</v>
      </c>
      <c r="I138" s="199"/>
    </row>
    <row r="139" spans="1:9" x14ac:dyDescent="0.3">
      <c r="A139" s="198">
        <v>45843</v>
      </c>
      <c r="B139" s="199" t="s">
        <v>311</v>
      </c>
      <c r="C139" s="205">
        <v>0.89583333333333337</v>
      </c>
      <c r="D139" s="205">
        <v>0.91666666666666663</v>
      </c>
      <c r="E139" s="201">
        <f t="shared" si="5"/>
        <v>2.0833333333333259E-2</v>
      </c>
      <c r="F139" s="202" t="s">
        <v>1054</v>
      </c>
      <c r="G139" s="225" t="s">
        <v>1156</v>
      </c>
      <c r="H139" s="199" t="s">
        <v>673</v>
      </c>
      <c r="I139" s="199"/>
    </row>
    <row r="140" spans="1:9" x14ac:dyDescent="0.3">
      <c r="A140" s="198">
        <v>45843</v>
      </c>
      <c r="B140" s="199" t="s">
        <v>311</v>
      </c>
      <c r="C140" s="205">
        <v>0.91666666666666663</v>
      </c>
      <c r="D140" s="205">
        <v>0.9375</v>
      </c>
      <c r="E140" s="201">
        <f t="shared" si="5"/>
        <v>2.083333333333337E-2</v>
      </c>
      <c r="F140" s="202" t="s">
        <v>1054</v>
      </c>
      <c r="G140" s="125" t="s">
        <v>1157</v>
      </c>
      <c r="H140" s="199" t="s">
        <v>673</v>
      </c>
      <c r="I140" s="199"/>
    </row>
    <row r="141" spans="1:9" x14ac:dyDescent="0.3">
      <c r="A141" s="198">
        <v>45843</v>
      </c>
      <c r="B141" s="199" t="s">
        <v>311</v>
      </c>
      <c r="C141" s="205">
        <v>0.9375</v>
      </c>
      <c r="D141" s="205">
        <v>0.94791666666666663</v>
      </c>
      <c r="E141" s="201">
        <f t="shared" si="5"/>
        <v>1.041666666666663E-2</v>
      </c>
      <c r="F141" s="202" t="s">
        <v>1054</v>
      </c>
      <c r="G141" s="125" t="s">
        <v>1081</v>
      </c>
      <c r="H141" s="204" t="s">
        <v>44</v>
      </c>
      <c r="I141" s="199"/>
    </row>
    <row r="142" spans="1:9" x14ac:dyDescent="0.3">
      <c r="A142" s="198">
        <v>45843</v>
      </c>
      <c r="B142" s="199" t="s">
        <v>311</v>
      </c>
      <c r="C142" s="205">
        <v>0.94791666666666663</v>
      </c>
      <c r="D142" s="205">
        <v>0.98263888888888884</v>
      </c>
      <c r="E142" s="201">
        <f t="shared" si="5"/>
        <v>3.472222222222221E-2</v>
      </c>
      <c r="F142" s="202" t="s">
        <v>1054</v>
      </c>
      <c r="G142" s="125" t="s">
        <v>1158</v>
      </c>
      <c r="H142" s="204" t="s">
        <v>1120</v>
      </c>
      <c r="I142" s="199"/>
    </row>
    <row r="143" spans="1:9" x14ac:dyDescent="0.3">
      <c r="A143" s="13"/>
      <c r="B143" s="13"/>
      <c r="C143" s="13"/>
      <c r="D143" s="13"/>
      <c r="E143" s="13"/>
      <c r="F143" s="13"/>
      <c r="G143" s="13"/>
      <c r="H143" s="13"/>
      <c r="I143" s="13"/>
    </row>
    <row r="144" spans="1:9" x14ac:dyDescent="0.3">
      <c r="A144" s="190" t="s">
        <v>1</v>
      </c>
      <c r="B144" s="208" t="s">
        <v>2</v>
      </c>
      <c r="C144" s="209" t="s">
        <v>3</v>
      </c>
      <c r="D144" s="210"/>
      <c r="E144" s="211" t="s">
        <v>4</v>
      </c>
      <c r="F144" s="190" t="s">
        <v>5</v>
      </c>
      <c r="G144" s="190" t="s">
        <v>6</v>
      </c>
      <c r="H144" s="190" t="s">
        <v>7</v>
      </c>
      <c r="I144" s="190" t="s">
        <v>8</v>
      </c>
    </row>
    <row r="145" spans="1:9" x14ac:dyDescent="0.3">
      <c r="A145" s="212"/>
      <c r="B145" s="213"/>
      <c r="C145" s="196" t="s">
        <v>9</v>
      </c>
      <c r="D145" s="196" t="s">
        <v>10</v>
      </c>
      <c r="E145" s="214"/>
      <c r="F145" s="215"/>
      <c r="G145" s="215"/>
      <c r="H145" s="215"/>
      <c r="I145" s="215"/>
    </row>
    <row r="146" spans="1:9" x14ac:dyDescent="0.3">
      <c r="A146" s="198">
        <v>45845</v>
      </c>
      <c r="B146" s="199" t="s">
        <v>12</v>
      </c>
      <c r="C146" s="200">
        <v>0.25</v>
      </c>
      <c r="D146" s="200">
        <v>0.25347222222222221</v>
      </c>
      <c r="E146" s="201">
        <f t="shared" ref="E146:E169" si="6">D146-C146</f>
        <v>3.4722222222222099E-3</v>
      </c>
      <c r="F146" s="202" t="s">
        <v>1054</v>
      </c>
      <c r="G146" s="203" t="s">
        <v>1159</v>
      </c>
      <c r="H146" s="196" t="s">
        <v>1056</v>
      </c>
      <c r="I146" s="216"/>
    </row>
    <row r="147" spans="1:9" x14ac:dyDescent="0.3">
      <c r="A147" s="198">
        <v>45845</v>
      </c>
      <c r="B147" s="199" t="s">
        <v>12</v>
      </c>
      <c r="C147" s="200">
        <v>0.25347222222222221</v>
      </c>
      <c r="D147" s="205">
        <v>0.30208333333333331</v>
      </c>
      <c r="E147" s="201">
        <f t="shared" si="6"/>
        <v>4.8611111111111105E-2</v>
      </c>
      <c r="F147" s="202" t="s">
        <v>1054</v>
      </c>
      <c r="G147" s="125" t="s">
        <v>1160</v>
      </c>
      <c r="H147" s="204" t="s">
        <v>44</v>
      </c>
      <c r="I147" s="204"/>
    </row>
    <row r="148" spans="1:9" x14ac:dyDescent="0.3">
      <c r="A148" s="198">
        <v>45845</v>
      </c>
      <c r="B148" s="199" t="s">
        <v>12</v>
      </c>
      <c r="C148" s="205">
        <v>0.30208333333333331</v>
      </c>
      <c r="D148" s="205">
        <v>0.3298611111111111</v>
      </c>
      <c r="E148" s="201">
        <f t="shared" si="6"/>
        <v>2.777777777777779E-2</v>
      </c>
      <c r="F148" s="202" t="s">
        <v>1054</v>
      </c>
      <c r="G148" s="125" t="s">
        <v>1161</v>
      </c>
      <c r="H148" s="199" t="s">
        <v>1162</v>
      </c>
      <c r="I148" s="204"/>
    </row>
    <row r="149" spans="1:9" x14ac:dyDescent="0.3">
      <c r="A149" s="198">
        <v>45845</v>
      </c>
      <c r="B149" s="199" t="s">
        <v>12</v>
      </c>
      <c r="C149" s="205">
        <v>0.3298611111111111</v>
      </c>
      <c r="D149" s="205">
        <v>0.34027777777777779</v>
      </c>
      <c r="E149" s="201">
        <f t="shared" si="6"/>
        <v>1.0416666666666685E-2</v>
      </c>
      <c r="F149" s="222" t="s">
        <v>1054</v>
      </c>
      <c r="G149" s="125" t="s">
        <v>1163</v>
      </c>
      <c r="H149" s="204" t="s">
        <v>44</v>
      </c>
      <c r="I149" s="204"/>
    </row>
    <row r="150" spans="1:9" x14ac:dyDescent="0.3">
      <c r="A150" s="198">
        <v>45845</v>
      </c>
      <c r="B150" s="199" t="s">
        <v>12</v>
      </c>
      <c r="C150" s="205">
        <v>0.34027777777777779</v>
      </c>
      <c r="D150" s="205">
        <v>0.35416666666666669</v>
      </c>
      <c r="E150" s="201">
        <f t="shared" si="6"/>
        <v>1.3888888888888895E-2</v>
      </c>
      <c r="F150" s="196" t="s">
        <v>1054</v>
      </c>
      <c r="G150" s="223" t="s">
        <v>1164</v>
      </c>
      <c r="H150" s="204" t="s">
        <v>44</v>
      </c>
      <c r="I150" s="204"/>
    </row>
    <row r="151" spans="1:9" x14ac:dyDescent="0.3">
      <c r="A151" s="198">
        <v>45845</v>
      </c>
      <c r="B151" s="199" t="s">
        <v>12</v>
      </c>
      <c r="C151" s="205">
        <v>0.35416666666666669</v>
      </c>
      <c r="D151" s="205">
        <v>0.3576388888888889</v>
      </c>
      <c r="E151" s="201">
        <f t="shared" si="6"/>
        <v>3.4722222222222099E-3</v>
      </c>
      <c r="F151" s="227" t="s">
        <v>1054</v>
      </c>
      <c r="G151" s="125" t="s">
        <v>1084</v>
      </c>
      <c r="H151" s="204" t="s">
        <v>44</v>
      </c>
      <c r="I151" s="199"/>
    </row>
    <row r="152" spans="1:9" x14ac:dyDescent="0.3">
      <c r="A152" s="198">
        <v>45845</v>
      </c>
      <c r="B152" s="199" t="s">
        <v>12</v>
      </c>
      <c r="C152" s="205">
        <v>0.3576388888888889</v>
      </c>
      <c r="D152" s="205">
        <v>0.36805555555555558</v>
      </c>
      <c r="E152" s="201">
        <f t="shared" si="6"/>
        <v>1.0416666666666685E-2</v>
      </c>
      <c r="F152" s="196" t="s">
        <v>1054</v>
      </c>
      <c r="G152" s="223" t="s">
        <v>1165</v>
      </c>
      <c r="H152" s="204" t="s">
        <v>44</v>
      </c>
      <c r="I152" s="199"/>
    </row>
    <row r="153" spans="1:9" x14ac:dyDescent="0.3">
      <c r="A153" s="198">
        <v>45845</v>
      </c>
      <c r="B153" s="199" t="s">
        <v>12</v>
      </c>
      <c r="C153" s="205">
        <v>0.36805555555555558</v>
      </c>
      <c r="D153" s="205">
        <v>0.375</v>
      </c>
      <c r="E153" s="201">
        <f t="shared" si="6"/>
        <v>6.9444444444444198E-3</v>
      </c>
      <c r="F153" s="224" t="s">
        <v>1054</v>
      </c>
      <c r="G153" s="125" t="s">
        <v>1166</v>
      </c>
      <c r="H153" s="204" t="s">
        <v>44</v>
      </c>
      <c r="I153" s="199"/>
    </row>
    <row r="154" spans="1:9" x14ac:dyDescent="0.3">
      <c r="A154" s="198">
        <v>45845</v>
      </c>
      <c r="B154" s="199" t="s">
        <v>12</v>
      </c>
      <c r="C154" s="205">
        <v>0.375</v>
      </c>
      <c r="D154" s="205">
        <v>0.38194444444444442</v>
      </c>
      <c r="E154" s="201">
        <f t="shared" si="6"/>
        <v>6.9444444444444198E-3</v>
      </c>
      <c r="F154" s="202" t="s">
        <v>1054</v>
      </c>
      <c r="G154" s="125" t="s">
        <v>1167</v>
      </c>
      <c r="H154" s="204" t="s">
        <v>44</v>
      </c>
      <c r="I154" s="199"/>
    </row>
    <row r="155" spans="1:9" x14ac:dyDescent="0.3">
      <c r="A155" s="198">
        <v>45845</v>
      </c>
      <c r="B155" s="199" t="s">
        <v>12</v>
      </c>
      <c r="C155" s="205">
        <v>0.38194444444444442</v>
      </c>
      <c r="D155" s="205">
        <v>0.38541666666666669</v>
      </c>
      <c r="E155" s="201">
        <f t="shared" si="6"/>
        <v>3.4722222222222654E-3</v>
      </c>
      <c r="F155" s="202" t="s">
        <v>1054</v>
      </c>
      <c r="G155" s="125" t="s">
        <v>1168</v>
      </c>
      <c r="H155" s="204" t="s">
        <v>44</v>
      </c>
      <c r="I155" s="199"/>
    </row>
    <row r="156" spans="1:9" x14ac:dyDescent="0.3">
      <c r="A156" s="198">
        <v>45845</v>
      </c>
      <c r="B156" s="199" t="s">
        <v>12</v>
      </c>
      <c r="C156" s="205">
        <v>0.38541666666666669</v>
      </c>
      <c r="D156" s="205">
        <v>0.40277777777777779</v>
      </c>
      <c r="E156" s="201">
        <f t="shared" si="6"/>
        <v>1.7361111111111105E-2</v>
      </c>
      <c r="F156" s="202" t="s">
        <v>1054</v>
      </c>
      <c r="G156" s="228" t="s">
        <v>1169</v>
      </c>
      <c r="H156" s="199" t="s">
        <v>673</v>
      </c>
      <c r="I156" s="199"/>
    </row>
    <row r="157" spans="1:9" x14ac:dyDescent="0.3">
      <c r="A157" s="198">
        <v>45845</v>
      </c>
      <c r="B157" s="199" t="s">
        <v>12</v>
      </c>
      <c r="C157" s="205">
        <v>0.40277777777777779</v>
      </c>
      <c r="D157" s="205">
        <v>0.44791666666666669</v>
      </c>
      <c r="E157" s="201">
        <f t="shared" si="6"/>
        <v>4.5138888888888895E-2</v>
      </c>
      <c r="F157" s="202" t="s">
        <v>1054</v>
      </c>
      <c r="G157" s="125" t="s">
        <v>1170</v>
      </c>
      <c r="H157" s="204" t="s">
        <v>44</v>
      </c>
      <c r="I157" s="199"/>
    </row>
    <row r="158" spans="1:9" x14ac:dyDescent="0.3">
      <c r="A158" s="198">
        <v>45845</v>
      </c>
      <c r="B158" s="199" t="s">
        <v>12</v>
      </c>
      <c r="C158" s="205">
        <v>0.44791666666666669</v>
      </c>
      <c r="D158" s="205">
        <v>0.4513888888888889</v>
      </c>
      <c r="E158" s="201">
        <f t="shared" si="6"/>
        <v>3.4722222222222099E-3</v>
      </c>
      <c r="F158" s="202" t="s">
        <v>1054</v>
      </c>
      <c r="G158" s="128" t="s">
        <v>1084</v>
      </c>
      <c r="H158" s="229" t="s">
        <v>44</v>
      </c>
      <c r="I158" s="199"/>
    </row>
    <row r="159" spans="1:9" x14ac:dyDescent="0.3">
      <c r="A159" s="198">
        <v>45845</v>
      </c>
      <c r="B159" s="199" t="s">
        <v>12</v>
      </c>
      <c r="C159" s="205">
        <v>0.4513888888888889</v>
      </c>
      <c r="D159" s="205">
        <v>0.46180555555555558</v>
      </c>
      <c r="E159" s="201">
        <f t="shared" si="6"/>
        <v>1.0416666666666685E-2</v>
      </c>
      <c r="F159" s="202" t="s">
        <v>1054</v>
      </c>
      <c r="G159" s="230" t="s">
        <v>1165</v>
      </c>
      <c r="H159" s="229" t="s">
        <v>44</v>
      </c>
      <c r="I159" s="199"/>
    </row>
    <row r="160" spans="1:9" x14ac:dyDescent="0.3">
      <c r="A160" s="198">
        <v>45845</v>
      </c>
      <c r="B160" s="199" t="s">
        <v>12</v>
      </c>
      <c r="C160" s="205">
        <v>0.46180555555555558</v>
      </c>
      <c r="D160" s="205">
        <v>0.48958333333333331</v>
      </c>
      <c r="E160" s="201">
        <f t="shared" si="6"/>
        <v>2.7777777777777735E-2</v>
      </c>
      <c r="F160" s="202" t="s">
        <v>1054</v>
      </c>
      <c r="G160" s="128" t="s">
        <v>1171</v>
      </c>
      <c r="H160" s="204" t="s">
        <v>44</v>
      </c>
      <c r="I160" s="199"/>
    </row>
    <row r="161" spans="1:9" x14ac:dyDescent="0.3">
      <c r="A161" s="198">
        <v>45845</v>
      </c>
      <c r="B161" s="199" t="s">
        <v>12</v>
      </c>
      <c r="C161" s="205">
        <v>0.48958333333333331</v>
      </c>
      <c r="D161" s="205">
        <v>0.49652777777777779</v>
      </c>
      <c r="E161" s="201">
        <f t="shared" si="6"/>
        <v>6.9444444444444753E-3</v>
      </c>
      <c r="F161" s="202" t="s">
        <v>1054</v>
      </c>
      <c r="G161" s="128" t="s">
        <v>1172</v>
      </c>
      <c r="H161" s="204" t="s">
        <v>44</v>
      </c>
      <c r="I161" s="199"/>
    </row>
    <row r="162" spans="1:9" x14ac:dyDescent="0.3">
      <c r="A162" s="198">
        <v>45845</v>
      </c>
      <c r="B162" s="199" t="s">
        <v>12</v>
      </c>
      <c r="C162" s="205">
        <v>0.49652777777777779</v>
      </c>
      <c r="D162" s="205">
        <v>0.53125</v>
      </c>
      <c r="E162" s="201">
        <f t="shared" si="6"/>
        <v>3.472222222222221E-2</v>
      </c>
      <c r="F162" s="202" t="s">
        <v>1054</v>
      </c>
      <c r="G162" s="125" t="s">
        <v>1173</v>
      </c>
      <c r="H162" s="204" t="s">
        <v>44</v>
      </c>
      <c r="I162" s="199"/>
    </row>
    <row r="163" spans="1:9" x14ac:dyDescent="0.3">
      <c r="A163" s="198">
        <v>45845</v>
      </c>
      <c r="B163" s="199" t="s">
        <v>12</v>
      </c>
      <c r="C163" s="205">
        <v>0.53125</v>
      </c>
      <c r="D163" s="205">
        <v>0.54166666666666663</v>
      </c>
      <c r="E163" s="201">
        <f t="shared" si="6"/>
        <v>1.041666666666663E-2</v>
      </c>
      <c r="F163" s="202" t="s">
        <v>1054</v>
      </c>
      <c r="G163" s="226" t="s">
        <v>1174</v>
      </c>
      <c r="H163" s="204" t="s">
        <v>44</v>
      </c>
      <c r="I163" s="199"/>
    </row>
    <row r="164" spans="1:9" x14ac:dyDescent="0.3">
      <c r="A164" s="198">
        <v>45845</v>
      </c>
      <c r="B164" s="199" t="s">
        <v>12</v>
      </c>
      <c r="C164" s="205">
        <v>0.54513888888888884</v>
      </c>
      <c r="D164" s="205">
        <v>0.55555555555555558</v>
      </c>
      <c r="E164" s="201">
        <f t="shared" si="6"/>
        <v>1.0416666666666741E-2</v>
      </c>
      <c r="F164" s="202" t="s">
        <v>1054</v>
      </c>
      <c r="G164" s="225" t="s">
        <v>1175</v>
      </c>
      <c r="H164" s="204" t="s">
        <v>44</v>
      </c>
      <c r="I164" s="199"/>
    </row>
    <row r="165" spans="1:9" x14ac:dyDescent="0.3">
      <c r="A165" s="198">
        <v>45845</v>
      </c>
      <c r="B165" s="199" t="s">
        <v>12</v>
      </c>
      <c r="C165" s="205">
        <v>0.55555555555555558</v>
      </c>
      <c r="D165" s="205">
        <v>0.55902777777777779</v>
      </c>
      <c r="E165" s="201">
        <f t="shared" si="6"/>
        <v>3.4722222222222099E-3</v>
      </c>
      <c r="F165" s="202" t="s">
        <v>1054</v>
      </c>
      <c r="G165" s="125" t="s">
        <v>1176</v>
      </c>
      <c r="H165" s="204" t="s">
        <v>44</v>
      </c>
      <c r="I165" s="199"/>
    </row>
    <row r="166" spans="1:9" x14ac:dyDescent="0.3">
      <c r="A166" s="198">
        <v>45845</v>
      </c>
      <c r="B166" s="199" t="s">
        <v>12</v>
      </c>
      <c r="C166" s="205">
        <v>0.55902777777777779</v>
      </c>
      <c r="D166" s="205">
        <v>0.56597222222222221</v>
      </c>
      <c r="E166" s="201">
        <f t="shared" si="6"/>
        <v>6.9444444444444198E-3</v>
      </c>
      <c r="F166" s="202" t="s">
        <v>1054</v>
      </c>
      <c r="G166" s="228" t="s">
        <v>1177</v>
      </c>
      <c r="H166" s="199" t="s">
        <v>673</v>
      </c>
      <c r="I166" s="199"/>
    </row>
    <row r="167" spans="1:9" x14ac:dyDescent="0.3">
      <c r="A167" s="198">
        <v>45845</v>
      </c>
      <c r="B167" s="199" t="s">
        <v>12</v>
      </c>
      <c r="C167" s="205">
        <v>0.56597222222222221</v>
      </c>
      <c r="D167" s="205">
        <v>0.57638888888888884</v>
      </c>
      <c r="E167" s="201">
        <f t="shared" si="6"/>
        <v>1.041666666666663E-2</v>
      </c>
      <c r="F167" s="202" t="s">
        <v>1054</v>
      </c>
      <c r="G167" s="228" t="s">
        <v>1178</v>
      </c>
      <c r="H167" s="199" t="s">
        <v>673</v>
      </c>
      <c r="I167" s="199"/>
    </row>
    <row r="168" spans="1:9" x14ac:dyDescent="0.3">
      <c r="A168" s="198">
        <v>45845</v>
      </c>
      <c r="B168" s="199" t="s">
        <v>12</v>
      </c>
      <c r="C168" s="205">
        <v>0.57638888888888884</v>
      </c>
      <c r="D168" s="205">
        <v>0.58333333333333337</v>
      </c>
      <c r="E168" s="201">
        <f t="shared" si="6"/>
        <v>6.9444444444445308E-3</v>
      </c>
      <c r="F168" s="202" t="s">
        <v>1054</v>
      </c>
      <c r="G168" s="125" t="s">
        <v>1179</v>
      </c>
      <c r="H168" s="204" t="s">
        <v>44</v>
      </c>
      <c r="I168" s="199"/>
    </row>
    <row r="169" spans="1:9" x14ac:dyDescent="0.3">
      <c r="A169" s="198">
        <v>45845</v>
      </c>
      <c r="B169" s="199" t="s">
        <v>12</v>
      </c>
      <c r="C169" s="205">
        <v>0.58333333333333337</v>
      </c>
      <c r="D169" s="205">
        <v>0.6875</v>
      </c>
      <c r="E169" s="201">
        <f t="shared" si="6"/>
        <v>0.10416666666666663</v>
      </c>
      <c r="F169" s="202" t="s">
        <v>1054</v>
      </c>
      <c r="G169" s="125" t="s">
        <v>1180</v>
      </c>
      <c r="H169" s="204" t="s">
        <v>1120</v>
      </c>
      <c r="I169" s="199"/>
    </row>
    <row r="170" spans="1:9" x14ac:dyDescent="0.3">
      <c r="A170" s="13"/>
      <c r="B170" s="13"/>
      <c r="C170" s="13"/>
      <c r="D170" s="13"/>
      <c r="E170" s="13"/>
      <c r="F170" s="13"/>
      <c r="G170" s="13"/>
      <c r="H170" s="13"/>
      <c r="I170" s="13"/>
    </row>
    <row r="171" spans="1:9" x14ac:dyDescent="0.3">
      <c r="A171" s="190" t="s">
        <v>1</v>
      </c>
      <c r="B171" s="208" t="s">
        <v>2</v>
      </c>
      <c r="C171" s="209" t="s">
        <v>3</v>
      </c>
      <c r="D171" s="210"/>
      <c r="E171" s="211" t="s">
        <v>4</v>
      </c>
      <c r="F171" s="190" t="s">
        <v>5</v>
      </c>
      <c r="G171" s="190" t="s">
        <v>6</v>
      </c>
      <c r="H171" s="190" t="s">
        <v>7</v>
      </c>
      <c r="I171" s="190" t="s">
        <v>8</v>
      </c>
    </row>
    <row r="172" spans="1:9" x14ac:dyDescent="0.3">
      <c r="A172" s="212"/>
      <c r="B172" s="213"/>
      <c r="C172" s="196" t="s">
        <v>9</v>
      </c>
      <c r="D172" s="196" t="s">
        <v>10</v>
      </c>
      <c r="E172" s="214"/>
      <c r="F172" s="215"/>
      <c r="G172" s="215"/>
      <c r="H172" s="215"/>
      <c r="I172" s="215"/>
    </row>
    <row r="173" spans="1:9" x14ac:dyDescent="0.3">
      <c r="A173" s="198">
        <v>45876</v>
      </c>
      <c r="B173" s="199" t="s">
        <v>59</v>
      </c>
      <c r="C173" s="200">
        <v>0.25</v>
      </c>
      <c r="D173" s="200">
        <v>0.27083333333333331</v>
      </c>
      <c r="E173" s="201">
        <f t="shared" ref="E173:E208" si="7">D173-C173</f>
        <v>2.0833333333333315E-2</v>
      </c>
      <c r="F173" s="202" t="s">
        <v>1054</v>
      </c>
      <c r="G173" s="203" t="s">
        <v>1181</v>
      </c>
      <c r="H173" s="196" t="s">
        <v>1056</v>
      </c>
      <c r="I173" s="216"/>
    </row>
    <row r="174" spans="1:9" x14ac:dyDescent="0.3">
      <c r="A174" s="198">
        <v>45876</v>
      </c>
      <c r="B174" s="199" t="s">
        <v>59</v>
      </c>
      <c r="C174" s="200">
        <v>0.27083333333333331</v>
      </c>
      <c r="D174" s="205">
        <v>0.2986111111111111</v>
      </c>
      <c r="E174" s="201">
        <f t="shared" si="7"/>
        <v>2.777777777777779E-2</v>
      </c>
      <c r="F174" s="202" t="s">
        <v>1054</v>
      </c>
      <c r="G174" s="125" t="s">
        <v>1182</v>
      </c>
      <c r="H174" s="204"/>
      <c r="I174" s="204"/>
    </row>
    <row r="175" spans="1:9" x14ac:dyDescent="0.3">
      <c r="A175" s="198">
        <v>45876</v>
      </c>
      <c r="B175" s="199" t="s">
        <v>59</v>
      </c>
      <c r="C175" s="205">
        <v>0.2986111111111111</v>
      </c>
      <c r="D175" s="205">
        <v>0.30069444444444443</v>
      </c>
      <c r="E175" s="201">
        <f t="shared" si="7"/>
        <v>2.0833333333333259E-3</v>
      </c>
      <c r="F175" s="202" t="s">
        <v>1054</v>
      </c>
      <c r="G175" s="125" t="s">
        <v>80</v>
      </c>
      <c r="H175" s="204" t="s">
        <v>44</v>
      </c>
      <c r="I175" s="204"/>
    </row>
    <row r="176" spans="1:9" x14ac:dyDescent="0.3">
      <c r="A176" s="198">
        <v>45876</v>
      </c>
      <c r="B176" s="199" t="s">
        <v>59</v>
      </c>
      <c r="C176" s="205">
        <v>0.30069444444444443</v>
      </c>
      <c r="D176" s="205">
        <v>0.34027777777777779</v>
      </c>
      <c r="E176" s="201">
        <f t="shared" si="7"/>
        <v>3.9583333333333359E-2</v>
      </c>
      <c r="F176" s="222" t="s">
        <v>1054</v>
      </c>
      <c r="G176" s="125" t="s">
        <v>1183</v>
      </c>
      <c r="H176" s="199" t="s">
        <v>1162</v>
      </c>
      <c r="I176" s="204"/>
    </row>
    <row r="177" spans="1:9" x14ac:dyDescent="0.3">
      <c r="A177" s="198">
        <v>45876</v>
      </c>
      <c r="B177" s="199" t="s">
        <v>59</v>
      </c>
      <c r="C177" s="205">
        <v>0.34027777777777779</v>
      </c>
      <c r="D177" s="205">
        <v>0.35416666666666669</v>
      </c>
      <c r="E177" s="201">
        <f t="shared" si="7"/>
        <v>1.3888888888888895E-2</v>
      </c>
      <c r="F177" s="196" t="s">
        <v>1054</v>
      </c>
      <c r="G177" s="223" t="s">
        <v>1184</v>
      </c>
      <c r="H177" s="204" t="s">
        <v>44</v>
      </c>
      <c r="I177" s="204"/>
    </row>
    <row r="178" spans="1:9" x14ac:dyDescent="0.3">
      <c r="A178" s="198">
        <v>45876</v>
      </c>
      <c r="B178" s="199" t="s">
        <v>59</v>
      </c>
      <c r="C178" s="205">
        <v>0.35416666666666669</v>
      </c>
      <c r="D178" s="205">
        <v>0.3576388888888889</v>
      </c>
      <c r="E178" s="201">
        <f t="shared" si="7"/>
        <v>3.4722222222222099E-3</v>
      </c>
      <c r="F178" s="227" t="s">
        <v>1054</v>
      </c>
      <c r="G178" s="125" t="s">
        <v>1084</v>
      </c>
      <c r="H178" s="204" t="s">
        <v>44</v>
      </c>
      <c r="I178" s="199"/>
    </row>
    <row r="179" spans="1:9" x14ac:dyDescent="0.3">
      <c r="A179" s="198">
        <v>45876</v>
      </c>
      <c r="B179" s="199" t="s">
        <v>59</v>
      </c>
      <c r="C179" s="205">
        <v>0.3576388888888889</v>
      </c>
      <c r="D179" s="205">
        <v>0.36805555555555558</v>
      </c>
      <c r="E179" s="201">
        <f t="shared" si="7"/>
        <v>1.0416666666666685E-2</v>
      </c>
      <c r="F179" s="196" t="s">
        <v>1054</v>
      </c>
      <c r="G179" s="223" t="s">
        <v>1165</v>
      </c>
      <c r="H179" s="204" t="s">
        <v>44</v>
      </c>
      <c r="I179" s="199"/>
    </row>
    <row r="180" spans="1:9" x14ac:dyDescent="0.3">
      <c r="A180" s="198">
        <v>45876</v>
      </c>
      <c r="B180" s="199" t="s">
        <v>59</v>
      </c>
      <c r="C180" s="205">
        <v>0.36805555555555558</v>
      </c>
      <c r="D180" s="205">
        <v>0.375</v>
      </c>
      <c r="E180" s="201">
        <f t="shared" si="7"/>
        <v>6.9444444444444198E-3</v>
      </c>
      <c r="F180" s="224" t="s">
        <v>1054</v>
      </c>
      <c r="G180" s="125" t="s">
        <v>1185</v>
      </c>
      <c r="H180" s="204" t="s">
        <v>44</v>
      </c>
      <c r="I180" s="199"/>
    </row>
    <row r="181" spans="1:9" x14ac:dyDescent="0.3">
      <c r="A181" s="198">
        <v>45876</v>
      </c>
      <c r="B181" s="199" t="s">
        <v>59</v>
      </c>
      <c r="C181" s="205">
        <v>0.375</v>
      </c>
      <c r="D181" s="205">
        <v>0.38541666666666669</v>
      </c>
      <c r="E181" s="201">
        <f t="shared" si="7"/>
        <v>1.0416666666666685E-2</v>
      </c>
      <c r="F181" s="202" t="s">
        <v>1054</v>
      </c>
      <c r="G181" s="125" t="s">
        <v>1186</v>
      </c>
      <c r="H181" s="204" t="s">
        <v>44</v>
      </c>
      <c r="I181" s="199"/>
    </row>
    <row r="182" spans="1:9" x14ac:dyDescent="0.3">
      <c r="A182" s="198">
        <v>45876</v>
      </c>
      <c r="B182" s="199" t="s">
        <v>59</v>
      </c>
      <c r="C182" s="205">
        <v>0.38541666666666669</v>
      </c>
      <c r="D182" s="205">
        <v>0.40625</v>
      </c>
      <c r="E182" s="201">
        <f t="shared" si="7"/>
        <v>2.0833333333333315E-2</v>
      </c>
      <c r="F182" s="222" t="s">
        <v>1054</v>
      </c>
      <c r="G182" s="125" t="s">
        <v>1187</v>
      </c>
      <c r="H182" s="204" t="s">
        <v>44</v>
      </c>
      <c r="I182" s="199"/>
    </row>
    <row r="183" spans="1:9" x14ac:dyDescent="0.3">
      <c r="A183" s="198">
        <v>45876</v>
      </c>
      <c r="B183" s="199" t="s">
        <v>59</v>
      </c>
      <c r="C183" s="205">
        <v>0.40625</v>
      </c>
      <c r="D183" s="231">
        <v>0.4201388888888889</v>
      </c>
      <c r="E183" s="201">
        <f t="shared" si="7"/>
        <v>1.3888888888888895E-2</v>
      </c>
      <c r="F183" s="196" t="s">
        <v>1054</v>
      </c>
      <c r="G183" s="232" t="s">
        <v>836</v>
      </c>
      <c r="H183" s="199" t="s">
        <v>673</v>
      </c>
      <c r="I183" s="199"/>
    </row>
    <row r="184" spans="1:9" x14ac:dyDescent="0.3">
      <c r="A184" s="198">
        <v>45876</v>
      </c>
      <c r="B184" s="199" t="s">
        <v>59</v>
      </c>
      <c r="C184" s="231">
        <v>0.4201388888888889</v>
      </c>
      <c r="D184" s="205">
        <v>0.43055555555555558</v>
      </c>
      <c r="E184" s="201">
        <f t="shared" si="7"/>
        <v>1.0416666666666685E-2</v>
      </c>
      <c r="F184" s="196" t="s">
        <v>1054</v>
      </c>
      <c r="G184" s="233" t="s">
        <v>1134</v>
      </c>
      <c r="H184" s="204" t="s">
        <v>44</v>
      </c>
      <c r="I184" s="199"/>
    </row>
    <row r="185" spans="1:9" x14ac:dyDescent="0.3">
      <c r="A185" s="198">
        <v>45876</v>
      </c>
      <c r="B185" s="199" t="s">
        <v>59</v>
      </c>
      <c r="C185" s="205">
        <v>0.43055555555555558</v>
      </c>
      <c r="D185" s="205">
        <v>0.4826388888888889</v>
      </c>
      <c r="E185" s="201">
        <f>D185-C185</f>
        <v>5.2083333333333315E-2</v>
      </c>
      <c r="F185" s="224" t="s">
        <v>1054</v>
      </c>
      <c r="G185" s="128" t="s">
        <v>1188</v>
      </c>
      <c r="H185" s="229" t="s">
        <v>44</v>
      </c>
      <c r="I185" s="199"/>
    </row>
    <row r="186" spans="1:9" x14ac:dyDescent="0.3">
      <c r="A186" s="198">
        <v>45876</v>
      </c>
      <c r="B186" s="199" t="s">
        <v>59</v>
      </c>
      <c r="C186" s="205">
        <v>0.4826388888888889</v>
      </c>
      <c r="D186" s="205">
        <v>0.5</v>
      </c>
      <c r="E186" s="201">
        <f>D186-C186</f>
        <v>1.7361111111111105E-2</v>
      </c>
      <c r="F186" s="202" t="s">
        <v>1054</v>
      </c>
      <c r="G186" s="230" t="s">
        <v>1189</v>
      </c>
      <c r="H186" s="229" t="s">
        <v>44</v>
      </c>
      <c r="I186" s="199"/>
    </row>
    <row r="187" spans="1:9" x14ac:dyDescent="0.3">
      <c r="A187" s="198">
        <v>45876</v>
      </c>
      <c r="B187" s="199" t="s">
        <v>59</v>
      </c>
      <c r="C187" s="205">
        <v>0.5</v>
      </c>
      <c r="D187" s="205">
        <v>0.50694444444444442</v>
      </c>
      <c r="E187" s="201">
        <f>D187-C187</f>
        <v>6.9444444444444198E-3</v>
      </c>
      <c r="F187" s="202" t="s">
        <v>1054</v>
      </c>
      <c r="G187" s="128" t="s">
        <v>1190</v>
      </c>
      <c r="H187" s="204" t="s">
        <v>44</v>
      </c>
      <c r="I187" s="199"/>
    </row>
    <row r="188" spans="1:9" x14ac:dyDescent="0.3">
      <c r="A188" s="198">
        <v>45876</v>
      </c>
      <c r="B188" s="199" t="s">
        <v>59</v>
      </c>
      <c r="C188" s="205">
        <v>0.50694444444444442</v>
      </c>
      <c r="D188" s="205">
        <v>0.54166666666666663</v>
      </c>
      <c r="E188" s="201">
        <f>D188-C188</f>
        <v>3.472222222222221E-2</v>
      </c>
      <c r="F188" s="202" t="s">
        <v>1054</v>
      </c>
      <c r="G188" s="125" t="s">
        <v>1173</v>
      </c>
      <c r="H188" s="204" t="s">
        <v>225</v>
      </c>
      <c r="I188" s="199"/>
    </row>
    <row r="189" spans="1:9" x14ac:dyDescent="0.3">
      <c r="A189" s="198">
        <v>45876</v>
      </c>
      <c r="B189" s="199" t="s">
        <v>59</v>
      </c>
      <c r="C189" s="205">
        <v>0.54513888888888884</v>
      </c>
      <c r="D189" s="205">
        <v>0.55555555555555558</v>
      </c>
      <c r="E189" s="201">
        <f t="shared" ref="E189:E190" si="8">D189-C189</f>
        <v>1.0416666666666741E-2</v>
      </c>
      <c r="F189" s="202" t="s">
        <v>1054</v>
      </c>
      <c r="G189" s="225" t="s">
        <v>1175</v>
      </c>
      <c r="H189" s="204" t="s">
        <v>44</v>
      </c>
      <c r="I189" s="199"/>
    </row>
    <row r="190" spans="1:9" x14ac:dyDescent="0.3">
      <c r="A190" s="198">
        <v>45876</v>
      </c>
      <c r="B190" s="199" t="s">
        <v>59</v>
      </c>
      <c r="C190" s="205">
        <v>0.55555555555555558</v>
      </c>
      <c r="D190" s="205">
        <v>0.55902777777777779</v>
      </c>
      <c r="E190" s="201">
        <f t="shared" si="8"/>
        <v>3.4722222222222099E-3</v>
      </c>
      <c r="F190" s="202" t="s">
        <v>1054</v>
      </c>
      <c r="G190" s="125" t="s">
        <v>1176</v>
      </c>
      <c r="H190" s="204" t="s">
        <v>44</v>
      </c>
      <c r="I190" s="199"/>
    </row>
    <row r="191" spans="1:9" x14ac:dyDescent="0.3">
      <c r="A191" s="198">
        <v>45876</v>
      </c>
      <c r="B191" s="199" t="s">
        <v>59</v>
      </c>
      <c r="C191" s="205">
        <v>0.55902777777777779</v>
      </c>
      <c r="D191" s="205">
        <v>0.5625</v>
      </c>
      <c r="E191" s="201">
        <f t="shared" si="7"/>
        <v>3.4722222222222099E-3</v>
      </c>
      <c r="F191" s="202" t="s">
        <v>1054</v>
      </c>
      <c r="G191" s="128" t="s">
        <v>1084</v>
      </c>
      <c r="H191" s="234" t="s">
        <v>44</v>
      </c>
      <c r="I191" s="199"/>
    </row>
    <row r="192" spans="1:9" x14ac:dyDescent="0.3">
      <c r="A192" s="198">
        <v>45876</v>
      </c>
      <c r="B192" s="199" t="s">
        <v>59</v>
      </c>
      <c r="C192" s="205">
        <v>0.5625</v>
      </c>
      <c r="D192" s="205">
        <v>0.57638888888888884</v>
      </c>
      <c r="E192" s="201">
        <f t="shared" si="7"/>
        <v>1.388888888888884E-2</v>
      </c>
      <c r="F192" s="202" t="s">
        <v>1054</v>
      </c>
      <c r="G192" s="230" t="s">
        <v>1165</v>
      </c>
      <c r="H192" s="196" t="s">
        <v>44</v>
      </c>
      <c r="I192" s="235"/>
    </row>
    <row r="193" spans="1:9" x14ac:dyDescent="0.3">
      <c r="A193" s="198">
        <v>45876</v>
      </c>
      <c r="B193" s="199" t="s">
        <v>59</v>
      </c>
      <c r="C193" s="205">
        <v>0.57638888888888884</v>
      </c>
      <c r="D193" s="205">
        <v>0.60416666666666663</v>
      </c>
      <c r="E193" s="201">
        <f t="shared" si="7"/>
        <v>2.777777777777779E-2</v>
      </c>
      <c r="F193" s="202" t="s">
        <v>1054</v>
      </c>
      <c r="G193" s="225" t="s">
        <v>1191</v>
      </c>
      <c r="H193" s="196" t="s">
        <v>673</v>
      </c>
      <c r="I193" s="235"/>
    </row>
    <row r="194" spans="1:9" x14ac:dyDescent="0.3">
      <c r="A194" s="236">
        <v>45876</v>
      </c>
      <c r="B194" s="199" t="s">
        <v>59</v>
      </c>
      <c r="C194" s="237">
        <v>0.60416666666666663</v>
      </c>
      <c r="D194" s="237">
        <v>0.61805555555555558</v>
      </c>
      <c r="E194" s="238">
        <f t="shared" si="7"/>
        <v>1.3888888888888951E-2</v>
      </c>
      <c r="F194" s="222" t="s">
        <v>1054</v>
      </c>
      <c r="G194" s="239" t="s">
        <v>1192</v>
      </c>
      <c r="H194" s="240" t="s">
        <v>44</v>
      </c>
      <c r="I194" s="241"/>
    </row>
    <row r="195" spans="1:9" x14ac:dyDescent="0.3">
      <c r="A195" s="242">
        <v>45876</v>
      </c>
      <c r="B195" s="199" t="s">
        <v>59</v>
      </c>
      <c r="C195" s="243">
        <v>0.61805555555555558</v>
      </c>
      <c r="D195" s="243">
        <v>0.62847222222222221</v>
      </c>
      <c r="E195" s="243">
        <f t="shared" si="7"/>
        <v>1.041666666666663E-2</v>
      </c>
      <c r="F195" s="196" t="s">
        <v>1054</v>
      </c>
      <c r="G195" s="143" t="s">
        <v>1193</v>
      </c>
      <c r="H195" s="196" t="s">
        <v>44</v>
      </c>
      <c r="I195" s="196"/>
    </row>
    <row r="196" spans="1:9" x14ac:dyDescent="0.3">
      <c r="A196" s="242">
        <v>45876</v>
      </c>
      <c r="B196" s="199" t="s">
        <v>59</v>
      </c>
      <c r="C196" s="243">
        <v>0.62847222222222221</v>
      </c>
      <c r="D196" s="243">
        <v>0.63888888888888884</v>
      </c>
      <c r="E196" s="243">
        <f t="shared" si="7"/>
        <v>1.041666666666663E-2</v>
      </c>
      <c r="F196" s="196" t="s">
        <v>1054</v>
      </c>
      <c r="G196" s="143" t="s">
        <v>1194</v>
      </c>
      <c r="H196" s="196" t="s">
        <v>1065</v>
      </c>
      <c r="I196" s="196"/>
    </row>
    <row r="197" spans="1:9" x14ac:dyDescent="0.3">
      <c r="A197" s="242">
        <v>45876</v>
      </c>
      <c r="B197" s="199" t="s">
        <v>59</v>
      </c>
      <c r="C197" s="243">
        <v>0.63888888888888884</v>
      </c>
      <c r="D197" s="243">
        <v>0.64236111111111116</v>
      </c>
      <c r="E197" s="243">
        <f t="shared" si="7"/>
        <v>3.4722222222223209E-3</v>
      </c>
      <c r="F197" s="196" t="s">
        <v>1054</v>
      </c>
      <c r="G197" s="143" t="s">
        <v>1084</v>
      </c>
      <c r="H197" s="196" t="s">
        <v>44</v>
      </c>
      <c r="I197" s="225"/>
    </row>
    <row r="198" spans="1:9" x14ac:dyDescent="0.3">
      <c r="A198" s="242">
        <v>45876</v>
      </c>
      <c r="B198" s="199" t="s">
        <v>59</v>
      </c>
      <c r="C198" s="243">
        <v>0.64236111111111116</v>
      </c>
      <c r="D198" s="243">
        <v>0.65625</v>
      </c>
      <c r="E198" s="243">
        <f t="shared" si="7"/>
        <v>1.388888888888884E-2</v>
      </c>
      <c r="F198" s="196" t="s">
        <v>1054</v>
      </c>
      <c r="G198" s="230" t="s">
        <v>1165</v>
      </c>
      <c r="H198" s="196" t="s">
        <v>44</v>
      </c>
      <c r="I198" s="225"/>
    </row>
    <row r="199" spans="1:9" x14ac:dyDescent="0.3">
      <c r="A199" s="242">
        <v>45876</v>
      </c>
      <c r="B199" s="199" t="s">
        <v>59</v>
      </c>
      <c r="C199" s="243">
        <v>0.65625</v>
      </c>
      <c r="D199" s="243">
        <v>0.66666666666666663</v>
      </c>
      <c r="E199" s="243">
        <f t="shared" si="7"/>
        <v>1.041666666666663E-2</v>
      </c>
      <c r="F199" s="196" t="s">
        <v>1054</v>
      </c>
      <c r="G199" s="143" t="s">
        <v>1195</v>
      </c>
      <c r="H199" s="196" t="s">
        <v>44</v>
      </c>
      <c r="I199" s="196"/>
    </row>
    <row r="200" spans="1:9" x14ac:dyDescent="0.3">
      <c r="A200" s="242">
        <v>45876</v>
      </c>
      <c r="B200" s="199" t="s">
        <v>59</v>
      </c>
      <c r="C200" s="243">
        <v>0.66666666666666663</v>
      </c>
      <c r="D200" s="243">
        <v>0.67361111111111116</v>
      </c>
      <c r="E200" s="243">
        <f t="shared" si="7"/>
        <v>6.9444444444445308E-3</v>
      </c>
      <c r="F200" s="196" t="s">
        <v>1054</v>
      </c>
      <c r="G200" s="143" t="s">
        <v>1196</v>
      </c>
      <c r="H200" s="196" t="s">
        <v>44</v>
      </c>
      <c r="I200" s="196"/>
    </row>
    <row r="201" spans="1:9" x14ac:dyDescent="0.3">
      <c r="A201" s="242">
        <v>45876</v>
      </c>
      <c r="B201" s="199" t="s">
        <v>59</v>
      </c>
      <c r="C201" s="243">
        <v>0.67361111111111116</v>
      </c>
      <c r="D201" s="243">
        <v>0.68055555555555558</v>
      </c>
      <c r="E201" s="243">
        <f t="shared" si="7"/>
        <v>6.9444444444444198E-3</v>
      </c>
      <c r="F201" s="196" t="s">
        <v>1054</v>
      </c>
      <c r="G201" s="143" t="s">
        <v>1197</v>
      </c>
      <c r="H201" s="196" t="s">
        <v>44</v>
      </c>
      <c r="I201" s="225"/>
    </row>
    <row r="202" spans="1:9" x14ac:dyDescent="0.3">
      <c r="A202" s="242">
        <v>45876</v>
      </c>
      <c r="B202" s="199" t="s">
        <v>59</v>
      </c>
      <c r="C202" s="243">
        <v>0.68055555555555558</v>
      </c>
      <c r="D202" s="243">
        <v>0.68402777777777779</v>
      </c>
      <c r="E202" s="243">
        <f t="shared" si="7"/>
        <v>3.4722222222222099E-3</v>
      </c>
      <c r="F202" s="196" t="s">
        <v>1054</v>
      </c>
      <c r="G202" s="128" t="s">
        <v>1084</v>
      </c>
      <c r="H202" s="234" t="s">
        <v>44</v>
      </c>
      <c r="I202" s="225"/>
    </row>
    <row r="203" spans="1:9" x14ac:dyDescent="0.3">
      <c r="A203" s="242">
        <v>45876</v>
      </c>
      <c r="B203" s="199" t="s">
        <v>59</v>
      </c>
      <c r="C203" s="243">
        <v>0.68402777777777779</v>
      </c>
      <c r="D203" s="243">
        <v>0.69444444444444442</v>
      </c>
      <c r="E203" s="243">
        <f t="shared" si="7"/>
        <v>1.041666666666663E-2</v>
      </c>
      <c r="F203" s="196" t="s">
        <v>1054</v>
      </c>
      <c r="G203" s="230" t="s">
        <v>1165</v>
      </c>
      <c r="H203" s="196" t="s">
        <v>44</v>
      </c>
      <c r="I203" s="196"/>
    </row>
    <row r="204" spans="1:9" x14ac:dyDescent="0.3">
      <c r="A204" s="242">
        <v>45876</v>
      </c>
      <c r="B204" s="199" t="s">
        <v>59</v>
      </c>
      <c r="C204" s="243">
        <v>0.69444444444444442</v>
      </c>
      <c r="D204" s="243">
        <v>0.70833333333333337</v>
      </c>
      <c r="E204" s="243">
        <f t="shared" si="7"/>
        <v>1.3888888888888951E-2</v>
      </c>
      <c r="F204" s="196" t="s">
        <v>1054</v>
      </c>
      <c r="G204" s="143" t="s">
        <v>1198</v>
      </c>
      <c r="H204" s="196" t="s">
        <v>44</v>
      </c>
      <c r="I204" s="225"/>
    </row>
    <row r="205" spans="1:9" x14ac:dyDescent="0.3">
      <c r="A205" s="242">
        <v>45876</v>
      </c>
      <c r="B205" s="199" t="s">
        <v>59</v>
      </c>
      <c r="C205" s="243">
        <v>0.70833333333333337</v>
      </c>
      <c r="D205" s="243">
        <v>0.75</v>
      </c>
      <c r="E205" s="243">
        <f t="shared" si="7"/>
        <v>4.166666666666663E-2</v>
      </c>
      <c r="F205" s="196" t="s">
        <v>1054</v>
      </c>
      <c r="G205" s="230" t="s">
        <v>1199</v>
      </c>
      <c r="H205" s="196" t="s">
        <v>44</v>
      </c>
      <c r="I205" s="225"/>
    </row>
    <row r="206" spans="1:9" x14ac:dyDescent="0.3">
      <c r="A206" s="242">
        <v>45876</v>
      </c>
      <c r="B206" s="199" t="s">
        <v>59</v>
      </c>
      <c r="C206" s="243">
        <v>0.75</v>
      </c>
      <c r="D206" s="243">
        <v>0.78125</v>
      </c>
      <c r="E206" s="243">
        <f t="shared" si="7"/>
        <v>3.125E-2</v>
      </c>
      <c r="F206" s="196" t="s">
        <v>1054</v>
      </c>
      <c r="G206" s="125" t="s">
        <v>1173</v>
      </c>
      <c r="H206" s="196" t="s">
        <v>225</v>
      </c>
      <c r="I206" s="196"/>
    </row>
    <row r="207" spans="1:9" x14ac:dyDescent="0.3">
      <c r="A207" s="242">
        <v>45876</v>
      </c>
      <c r="B207" s="199" t="s">
        <v>59</v>
      </c>
      <c r="C207" s="243">
        <v>0.78125</v>
      </c>
      <c r="D207" s="243">
        <v>0.79166666666666663</v>
      </c>
      <c r="E207" s="243">
        <f t="shared" si="7"/>
        <v>1.041666666666663E-2</v>
      </c>
      <c r="F207" s="196" t="s">
        <v>1054</v>
      </c>
      <c r="G207" s="143" t="s">
        <v>1200</v>
      </c>
      <c r="H207" s="196"/>
      <c r="I207" s="225"/>
    </row>
    <row r="208" spans="1:9" x14ac:dyDescent="0.3">
      <c r="A208" s="242">
        <v>45876</v>
      </c>
      <c r="B208" s="199" t="s">
        <v>59</v>
      </c>
      <c r="C208" s="243">
        <v>0.79166666666666663</v>
      </c>
      <c r="D208" s="243">
        <v>0.85416666666666663</v>
      </c>
      <c r="E208" s="243">
        <f t="shared" si="7"/>
        <v>6.25E-2</v>
      </c>
      <c r="F208" s="196" t="s">
        <v>1054</v>
      </c>
      <c r="G208" s="125" t="s">
        <v>1201</v>
      </c>
      <c r="H208" s="225"/>
      <c r="I208" s="225"/>
    </row>
    <row r="209" spans="1:9" x14ac:dyDescent="0.3">
      <c r="A209" s="13"/>
      <c r="B209" s="13"/>
      <c r="C209" s="13"/>
      <c r="D209" s="13"/>
      <c r="E209" s="13"/>
      <c r="F209" s="13"/>
      <c r="G209" s="13"/>
      <c r="H209" s="13"/>
      <c r="I209" s="13"/>
    </row>
    <row r="210" spans="1:9" x14ac:dyDescent="0.3">
      <c r="A210" s="190" t="s">
        <v>1</v>
      </c>
      <c r="B210" s="208" t="s">
        <v>2</v>
      </c>
      <c r="C210" s="209" t="s">
        <v>3</v>
      </c>
      <c r="D210" s="210"/>
      <c r="E210" s="211" t="s">
        <v>4</v>
      </c>
      <c r="F210" s="190" t="s">
        <v>5</v>
      </c>
      <c r="G210" s="190" t="s">
        <v>6</v>
      </c>
      <c r="H210" s="190" t="s">
        <v>7</v>
      </c>
      <c r="I210" s="190" t="s">
        <v>8</v>
      </c>
    </row>
    <row r="211" spans="1:9" x14ac:dyDescent="0.3">
      <c r="A211" s="212"/>
      <c r="B211" s="213"/>
      <c r="C211" s="196" t="s">
        <v>9</v>
      </c>
      <c r="D211" s="196" t="s">
        <v>10</v>
      </c>
      <c r="E211" s="214"/>
      <c r="F211" s="215"/>
      <c r="G211" s="215"/>
      <c r="H211" s="215"/>
      <c r="I211" s="215"/>
    </row>
    <row r="212" spans="1:9" x14ac:dyDescent="0.3">
      <c r="A212" s="198">
        <v>45907</v>
      </c>
      <c r="B212" s="199" t="s">
        <v>88</v>
      </c>
      <c r="C212" s="200">
        <v>0.25</v>
      </c>
      <c r="D212" s="200">
        <v>0.27083333333333331</v>
      </c>
      <c r="E212" s="201">
        <f t="shared" ref="E212:E223" si="9">D212-C212</f>
        <v>2.0833333333333315E-2</v>
      </c>
      <c r="F212" s="202" t="s">
        <v>1054</v>
      </c>
      <c r="G212" s="203" t="s">
        <v>1181</v>
      </c>
      <c r="H212" s="196" t="s">
        <v>1056</v>
      </c>
      <c r="I212" s="216"/>
    </row>
    <row r="213" spans="1:9" x14ac:dyDescent="0.3">
      <c r="A213" s="198">
        <v>45907</v>
      </c>
      <c r="B213" s="199" t="s">
        <v>88</v>
      </c>
      <c r="C213" s="200">
        <v>0.27083333333333331</v>
      </c>
      <c r="D213" s="205">
        <v>0.2986111111111111</v>
      </c>
      <c r="E213" s="201">
        <f t="shared" si="9"/>
        <v>2.777777777777779E-2</v>
      </c>
      <c r="F213" s="202" t="s">
        <v>1054</v>
      </c>
      <c r="G213" s="125" t="s">
        <v>1182</v>
      </c>
      <c r="H213" s="204"/>
      <c r="I213" s="204"/>
    </row>
    <row r="214" spans="1:9" x14ac:dyDescent="0.3">
      <c r="A214" s="198">
        <v>45907</v>
      </c>
      <c r="B214" s="199" t="s">
        <v>88</v>
      </c>
      <c r="C214" s="205">
        <v>0.2986111111111111</v>
      </c>
      <c r="D214" s="205">
        <v>0.30208333333333331</v>
      </c>
      <c r="E214" s="201">
        <f t="shared" si="9"/>
        <v>3.4722222222222099E-3</v>
      </c>
      <c r="F214" s="202" t="s">
        <v>1054</v>
      </c>
      <c r="G214" s="125" t="s">
        <v>80</v>
      </c>
      <c r="H214" s="204" t="s">
        <v>44</v>
      </c>
      <c r="I214" s="204"/>
    </row>
    <row r="215" spans="1:9" x14ac:dyDescent="0.3">
      <c r="A215" s="198">
        <v>45907</v>
      </c>
      <c r="B215" s="199" t="s">
        <v>88</v>
      </c>
      <c r="C215" s="205">
        <v>0.30208333333333331</v>
      </c>
      <c r="D215" s="205">
        <v>0.3298611111111111</v>
      </c>
      <c r="E215" s="201">
        <f t="shared" si="9"/>
        <v>2.777777777777779E-2</v>
      </c>
      <c r="F215" s="222" t="s">
        <v>1054</v>
      </c>
      <c r="G215" s="125" t="s">
        <v>1183</v>
      </c>
      <c r="H215" s="199" t="s">
        <v>1162</v>
      </c>
      <c r="I215" s="204"/>
    </row>
    <row r="216" spans="1:9" x14ac:dyDescent="0.3">
      <c r="A216" s="198">
        <v>45907</v>
      </c>
      <c r="B216" s="199" t="s">
        <v>88</v>
      </c>
      <c r="C216" s="205">
        <v>0.3298611111111111</v>
      </c>
      <c r="D216" s="205">
        <v>0.33333333333333331</v>
      </c>
      <c r="E216" s="201">
        <f t="shared" si="9"/>
        <v>3.4722222222222099E-3</v>
      </c>
      <c r="F216" s="196" t="s">
        <v>1054</v>
      </c>
      <c r="G216" s="223" t="s">
        <v>1202</v>
      </c>
      <c r="H216" s="204" t="s">
        <v>44</v>
      </c>
      <c r="I216" s="204"/>
    </row>
    <row r="217" spans="1:9" x14ac:dyDescent="0.3">
      <c r="A217" s="198">
        <v>45907</v>
      </c>
      <c r="B217" s="199" t="s">
        <v>88</v>
      </c>
      <c r="C217" s="205">
        <v>0.33333333333333331</v>
      </c>
      <c r="D217" s="205">
        <v>0.33680555555555558</v>
      </c>
      <c r="E217" s="201">
        <f t="shared" si="9"/>
        <v>3.4722222222222654E-3</v>
      </c>
      <c r="F217" s="227" t="s">
        <v>1054</v>
      </c>
      <c r="G217" s="230" t="s">
        <v>1203</v>
      </c>
      <c r="H217" s="229" t="s">
        <v>44</v>
      </c>
      <c r="I217" s="199"/>
    </row>
    <row r="218" spans="1:9" x14ac:dyDescent="0.3">
      <c r="A218" s="198">
        <v>45907</v>
      </c>
      <c r="B218" s="199" t="s">
        <v>88</v>
      </c>
      <c r="C218" s="205">
        <v>0.33680555555555558</v>
      </c>
      <c r="D218" s="205">
        <v>0.34375</v>
      </c>
      <c r="E218" s="201">
        <f t="shared" si="9"/>
        <v>6.9444444444444198E-3</v>
      </c>
      <c r="F218" s="196" t="s">
        <v>1054</v>
      </c>
      <c r="G218" s="223" t="s">
        <v>1204</v>
      </c>
      <c r="H218" s="204" t="s">
        <v>44</v>
      </c>
      <c r="I218" s="199"/>
    </row>
    <row r="219" spans="1:9" x14ac:dyDescent="0.3">
      <c r="A219" s="198">
        <v>45907</v>
      </c>
      <c r="B219" s="199" t="s">
        <v>88</v>
      </c>
      <c r="C219" s="205">
        <v>0.34375</v>
      </c>
      <c r="D219" s="205">
        <v>0.34722222222222221</v>
      </c>
      <c r="E219" s="201">
        <f t="shared" si="9"/>
        <v>3.4722222222222099E-3</v>
      </c>
      <c r="F219" s="224" t="s">
        <v>1054</v>
      </c>
      <c r="G219" s="128" t="s">
        <v>1084</v>
      </c>
      <c r="H219" s="204" t="s">
        <v>44</v>
      </c>
      <c r="I219" s="199"/>
    </row>
    <row r="220" spans="1:9" x14ac:dyDescent="0.3">
      <c r="A220" s="198">
        <v>45907</v>
      </c>
      <c r="B220" s="199" t="s">
        <v>88</v>
      </c>
      <c r="C220" s="205">
        <v>0.34722222222222221</v>
      </c>
      <c r="D220" s="205">
        <v>0.3576388888888889</v>
      </c>
      <c r="E220" s="201">
        <f t="shared" si="9"/>
        <v>1.0416666666666685E-2</v>
      </c>
      <c r="F220" s="202" t="s">
        <v>1054</v>
      </c>
      <c r="G220" s="230" t="s">
        <v>1165</v>
      </c>
      <c r="H220" s="204" t="s">
        <v>44</v>
      </c>
      <c r="I220" s="199"/>
    </row>
    <row r="221" spans="1:9" x14ac:dyDescent="0.3">
      <c r="A221" s="198">
        <v>45907</v>
      </c>
      <c r="B221" s="199" t="s">
        <v>88</v>
      </c>
      <c r="C221" s="205">
        <v>0.3576388888888889</v>
      </c>
      <c r="D221" s="205">
        <v>0.38541666666666669</v>
      </c>
      <c r="E221" s="201">
        <f t="shared" si="9"/>
        <v>2.777777777777779E-2</v>
      </c>
      <c r="F221" s="222" t="s">
        <v>1054</v>
      </c>
      <c r="G221" s="125" t="s">
        <v>1205</v>
      </c>
      <c r="H221" s="204" t="s">
        <v>44</v>
      </c>
      <c r="I221" s="199"/>
    </row>
    <row r="222" spans="1:9" x14ac:dyDescent="0.3">
      <c r="A222" s="198">
        <v>45907</v>
      </c>
      <c r="B222" s="199" t="s">
        <v>88</v>
      </c>
      <c r="C222" s="205">
        <v>0.38541666666666669</v>
      </c>
      <c r="D222" s="231">
        <v>0.40277777777777779</v>
      </c>
      <c r="E222" s="201">
        <f t="shared" si="9"/>
        <v>1.7361111111111105E-2</v>
      </c>
      <c r="F222" s="196" t="s">
        <v>1054</v>
      </c>
      <c r="G222" s="232" t="s">
        <v>1206</v>
      </c>
      <c r="H222" s="199" t="s">
        <v>673</v>
      </c>
      <c r="I222" s="199"/>
    </row>
    <row r="223" spans="1:9" x14ac:dyDescent="0.3">
      <c r="A223" s="198">
        <v>45907</v>
      </c>
      <c r="B223" s="199" t="s">
        <v>88</v>
      </c>
      <c r="C223" s="231">
        <v>0.40277777777777779</v>
      </c>
      <c r="D223" s="205">
        <v>0.40972222222222221</v>
      </c>
      <c r="E223" s="201">
        <f t="shared" si="9"/>
        <v>6.9444444444444198E-3</v>
      </c>
      <c r="F223" s="196" t="s">
        <v>1054</v>
      </c>
      <c r="G223" s="233" t="s">
        <v>1207</v>
      </c>
      <c r="H223" s="204" t="s">
        <v>44</v>
      </c>
      <c r="I223" s="199"/>
    </row>
    <row r="224" spans="1:9" x14ac:dyDescent="0.3">
      <c r="A224" s="198">
        <v>45907</v>
      </c>
      <c r="B224" s="199" t="s">
        <v>88</v>
      </c>
      <c r="C224" s="205">
        <v>0.40972222222222221</v>
      </c>
      <c r="D224" s="205">
        <v>0.4201388888888889</v>
      </c>
      <c r="E224" s="201">
        <f>D224-C224</f>
        <v>1.0416666666666685E-2</v>
      </c>
      <c r="F224" s="224" t="s">
        <v>1054</v>
      </c>
      <c r="G224" s="128" t="s">
        <v>1208</v>
      </c>
      <c r="H224" s="229" t="s">
        <v>44</v>
      </c>
      <c r="I224" s="199"/>
    </row>
    <row r="225" spans="1:9" x14ac:dyDescent="0.3">
      <c r="A225" s="198">
        <v>45907</v>
      </c>
      <c r="B225" s="199" t="s">
        <v>88</v>
      </c>
      <c r="C225" s="205">
        <v>0.4201388888888889</v>
      </c>
      <c r="D225" s="205">
        <v>0.43055555555555558</v>
      </c>
      <c r="E225" s="201">
        <f>D225-C225</f>
        <v>1.0416666666666685E-2</v>
      </c>
      <c r="F225" s="202" t="s">
        <v>1054</v>
      </c>
      <c r="G225" s="230" t="s">
        <v>1209</v>
      </c>
      <c r="H225" s="229" t="s">
        <v>44</v>
      </c>
      <c r="I225" s="199"/>
    </row>
    <row r="226" spans="1:9" x14ac:dyDescent="0.3">
      <c r="A226" s="198">
        <v>45907</v>
      </c>
      <c r="B226" s="199" t="s">
        <v>88</v>
      </c>
      <c r="C226" s="205">
        <v>0.43055555555555558</v>
      </c>
      <c r="D226" s="205">
        <v>0.44444444444444442</v>
      </c>
      <c r="E226" s="201">
        <f>D226-C226</f>
        <v>1.388888888888884E-2</v>
      </c>
      <c r="F226" s="202" t="s">
        <v>1054</v>
      </c>
      <c r="G226" s="128" t="s">
        <v>1210</v>
      </c>
      <c r="H226" s="204" t="s">
        <v>44</v>
      </c>
      <c r="I226" s="199"/>
    </row>
    <row r="227" spans="1:9" x14ac:dyDescent="0.3">
      <c r="A227" s="198">
        <v>45907</v>
      </c>
      <c r="B227" s="199" t="s">
        <v>88</v>
      </c>
      <c r="C227" s="205">
        <v>0.44444444444444442</v>
      </c>
      <c r="D227" s="205">
        <v>0.44791666666666669</v>
      </c>
      <c r="E227" s="201">
        <f>D227-C227</f>
        <v>3.4722222222222654E-3</v>
      </c>
      <c r="F227" s="202" t="s">
        <v>1054</v>
      </c>
      <c r="G227" s="128" t="s">
        <v>1084</v>
      </c>
      <c r="H227" s="204" t="s">
        <v>225</v>
      </c>
      <c r="I227" s="199"/>
    </row>
    <row r="228" spans="1:9" x14ac:dyDescent="0.3">
      <c r="A228" s="198">
        <v>45907</v>
      </c>
      <c r="B228" s="199" t="s">
        <v>88</v>
      </c>
      <c r="C228" s="205">
        <v>0.44791666666666669</v>
      </c>
      <c r="D228" s="205">
        <v>0.45833333333333331</v>
      </c>
      <c r="E228" s="201">
        <f t="shared" ref="E228:E247" si="10">D228-C228</f>
        <v>1.041666666666663E-2</v>
      </c>
      <c r="F228" s="202" t="s">
        <v>1054</v>
      </c>
      <c r="G228" s="230" t="s">
        <v>1165</v>
      </c>
      <c r="H228" s="204" t="s">
        <v>44</v>
      </c>
      <c r="I228" s="199"/>
    </row>
    <row r="229" spans="1:9" x14ac:dyDescent="0.3">
      <c r="A229" s="198">
        <v>45907</v>
      </c>
      <c r="B229" s="199" t="s">
        <v>88</v>
      </c>
      <c r="C229" s="205">
        <v>0.45833333333333331</v>
      </c>
      <c r="D229" s="205">
        <v>0.46875</v>
      </c>
      <c r="E229" s="201">
        <f t="shared" si="10"/>
        <v>1.0416666666666685E-2</v>
      </c>
      <c r="F229" s="202" t="s">
        <v>1054</v>
      </c>
      <c r="G229" s="125" t="s">
        <v>1211</v>
      </c>
      <c r="H229" s="204" t="s">
        <v>44</v>
      </c>
      <c r="I229" s="199"/>
    </row>
    <row r="230" spans="1:9" x14ac:dyDescent="0.3">
      <c r="A230" s="198">
        <v>45907</v>
      </c>
      <c r="B230" s="199" t="s">
        <v>88</v>
      </c>
      <c r="C230" s="205">
        <v>0.46875</v>
      </c>
      <c r="D230" s="205">
        <v>0.4826388888888889</v>
      </c>
      <c r="E230" s="201">
        <f t="shared" si="10"/>
        <v>1.3888888888888895E-2</v>
      </c>
      <c r="F230" s="202" t="s">
        <v>1054</v>
      </c>
      <c r="G230" s="128" t="s">
        <v>1212</v>
      </c>
      <c r="H230" s="234" t="s">
        <v>44</v>
      </c>
      <c r="I230" s="199"/>
    </row>
    <row r="231" spans="1:9" x14ac:dyDescent="0.3">
      <c r="A231" s="198">
        <v>45907</v>
      </c>
      <c r="B231" s="199" t="s">
        <v>88</v>
      </c>
      <c r="C231" s="205">
        <v>0.4826388888888889</v>
      </c>
      <c r="D231" s="205">
        <v>0.48958333333333331</v>
      </c>
      <c r="E231" s="201">
        <f t="shared" si="10"/>
        <v>6.9444444444444198E-3</v>
      </c>
      <c r="F231" s="202" t="s">
        <v>1054</v>
      </c>
      <c r="G231" s="230" t="s">
        <v>1213</v>
      </c>
      <c r="H231" s="196" t="s">
        <v>44</v>
      </c>
      <c r="I231" s="235"/>
    </row>
    <row r="232" spans="1:9" x14ac:dyDescent="0.3">
      <c r="A232" s="198">
        <v>45907</v>
      </c>
      <c r="B232" s="199" t="s">
        <v>88</v>
      </c>
      <c r="C232" s="205">
        <v>0.48958333333333331</v>
      </c>
      <c r="D232" s="205">
        <v>0.50694444444444442</v>
      </c>
      <c r="E232" s="201">
        <f t="shared" si="10"/>
        <v>1.7361111111111105E-2</v>
      </c>
      <c r="F232" s="202" t="s">
        <v>1054</v>
      </c>
      <c r="G232" s="225" t="s">
        <v>1214</v>
      </c>
      <c r="H232" s="196" t="s">
        <v>673</v>
      </c>
      <c r="I232" s="235"/>
    </row>
    <row r="233" spans="1:9" x14ac:dyDescent="0.3">
      <c r="A233" s="198">
        <v>45907</v>
      </c>
      <c r="B233" s="199" t="s">
        <v>88</v>
      </c>
      <c r="C233" s="205">
        <v>0.50694444444444442</v>
      </c>
      <c r="D233" s="237">
        <v>0.54166666666666663</v>
      </c>
      <c r="E233" s="238">
        <f t="shared" si="10"/>
        <v>3.472222222222221E-2</v>
      </c>
      <c r="F233" s="222" t="s">
        <v>1054</v>
      </c>
      <c r="G233" s="125" t="s">
        <v>1173</v>
      </c>
      <c r="H233" s="240" t="s">
        <v>44</v>
      </c>
      <c r="I233" s="241"/>
    </row>
    <row r="234" spans="1:9" x14ac:dyDescent="0.3">
      <c r="A234" s="198">
        <v>45907</v>
      </c>
      <c r="B234" s="199" t="s">
        <v>88</v>
      </c>
      <c r="C234" s="237">
        <v>0.54166666666666663</v>
      </c>
      <c r="D234" s="205">
        <v>0.55555555555555558</v>
      </c>
      <c r="E234" s="201">
        <f t="shared" si="10"/>
        <v>1.3888888888888951E-2</v>
      </c>
      <c r="F234" s="202" t="s">
        <v>1054</v>
      </c>
      <c r="G234" s="225" t="s">
        <v>1215</v>
      </c>
      <c r="H234" s="196" t="s">
        <v>44</v>
      </c>
      <c r="I234" s="196"/>
    </row>
    <row r="235" spans="1:9" x14ac:dyDescent="0.3">
      <c r="A235" s="198">
        <v>45907</v>
      </c>
      <c r="B235" s="199" t="s">
        <v>88</v>
      </c>
      <c r="C235" s="205">
        <v>0.55555555555555558</v>
      </c>
      <c r="D235" s="205">
        <v>0.55902777777777779</v>
      </c>
      <c r="E235" s="201">
        <f t="shared" si="10"/>
        <v>3.4722222222222099E-3</v>
      </c>
      <c r="F235" s="202" t="s">
        <v>1054</v>
      </c>
      <c r="G235" s="125" t="s">
        <v>1176</v>
      </c>
      <c r="H235" s="196" t="s">
        <v>1065</v>
      </c>
      <c r="I235" s="196"/>
    </row>
    <row r="236" spans="1:9" x14ac:dyDescent="0.3">
      <c r="A236" s="198">
        <v>45907</v>
      </c>
      <c r="B236" s="199" t="s">
        <v>88</v>
      </c>
      <c r="C236" s="205">
        <v>0.55902777777777779</v>
      </c>
      <c r="D236" s="243">
        <v>0.59375</v>
      </c>
      <c r="E236" s="243">
        <f t="shared" si="10"/>
        <v>3.472222222222221E-2</v>
      </c>
      <c r="F236" s="196" t="s">
        <v>1054</v>
      </c>
      <c r="G236" s="143" t="s">
        <v>1216</v>
      </c>
      <c r="H236" s="196" t="s">
        <v>44</v>
      </c>
      <c r="I236" s="225"/>
    </row>
    <row r="237" spans="1:9" x14ac:dyDescent="0.3">
      <c r="A237" s="198">
        <v>45907</v>
      </c>
      <c r="B237" s="199" t="s">
        <v>88</v>
      </c>
      <c r="C237" s="243">
        <v>0.59375</v>
      </c>
      <c r="D237" s="243">
        <v>0.64930555555555558</v>
      </c>
      <c r="E237" s="243">
        <f t="shared" si="10"/>
        <v>5.555555555555558E-2</v>
      </c>
      <c r="F237" s="196" t="s">
        <v>1054</v>
      </c>
      <c r="G237" s="230" t="s">
        <v>1217</v>
      </c>
      <c r="H237" s="196" t="s">
        <v>44</v>
      </c>
      <c r="I237" s="225"/>
    </row>
    <row r="238" spans="1:9" x14ac:dyDescent="0.3">
      <c r="A238" s="198">
        <v>45907</v>
      </c>
      <c r="B238" s="199" t="s">
        <v>88</v>
      </c>
      <c r="C238" s="243">
        <v>0.64930555555555558</v>
      </c>
      <c r="D238" s="243">
        <v>0.69097222222222221</v>
      </c>
      <c r="E238" s="243">
        <f t="shared" si="10"/>
        <v>4.166666666666663E-2</v>
      </c>
      <c r="F238" s="196" t="s">
        <v>1054</v>
      </c>
      <c r="G238" s="143" t="s">
        <v>1218</v>
      </c>
      <c r="H238" s="196" t="s">
        <v>44</v>
      </c>
      <c r="I238" s="196"/>
    </row>
    <row r="239" spans="1:9" x14ac:dyDescent="0.3">
      <c r="A239" s="198">
        <v>45907</v>
      </c>
      <c r="B239" s="199" t="s">
        <v>88</v>
      </c>
      <c r="C239" s="243">
        <v>0.69097222222222221</v>
      </c>
      <c r="D239" s="243">
        <v>0.70138888888888884</v>
      </c>
      <c r="E239" s="243">
        <f t="shared" si="10"/>
        <v>1.041666666666663E-2</v>
      </c>
      <c r="F239" s="196" t="s">
        <v>1054</v>
      </c>
      <c r="G239" s="143" t="s">
        <v>1219</v>
      </c>
      <c r="H239" s="196" t="s">
        <v>44</v>
      </c>
      <c r="I239" s="196"/>
    </row>
    <row r="240" spans="1:9" x14ac:dyDescent="0.3">
      <c r="A240" s="198">
        <v>45907</v>
      </c>
      <c r="B240" s="199" t="s">
        <v>88</v>
      </c>
      <c r="C240" s="243">
        <v>0.70138888888888884</v>
      </c>
      <c r="D240" s="243">
        <v>0.75347222222222221</v>
      </c>
      <c r="E240" s="243">
        <f t="shared" si="10"/>
        <v>5.208333333333337E-2</v>
      </c>
      <c r="F240" s="196" t="s">
        <v>1054</v>
      </c>
      <c r="G240" s="143" t="s">
        <v>1220</v>
      </c>
      <c r="H240" s="196" t="s">
        <v>44</v>
      </c>
      <c r="I240" s="225"/>
    </row>
    <row r="241" spans="1:9" x14ac:dyDescent="0.3">
      <c r="A241" s="198">
        <v>45907</v>
      </c>
      <c r="B241" s="199" t="s">
        <v>88</v>
      </c>
      <c r="C241" s="243">
        <v>0.75347222222222221</v>
      </c>
      <c r="D241" s="243">
        <v>0.77430555555555558</v>
      </c>
      <c r="E241" s="243">
        <f t="shared" si="10"/>
        <v>2.083333333333337E-2</v>
      </c>
      <c r="F241" s="196" t="s">
        <v>1054</v>
      </c>
      <c r="G241" s="128" t="s">
        <v>1221</v>
      </c>
      <c r="H241" s="234" t="s">
        <v>44</v>
      </c>
      <c r="I241" s="225"/>
    </row>
    <row r="242" spans="1:9" x14ac:dyDescent="0.3">
      <c r="A242" s="198">
        <v>45907</v>
      </c>
      <c r="B242" s="199" t="s">
        <v>88</v>
      </c>
      <c r="C242" s="243">
        <v>0.77430555555555558</v>
      </c>
      <c r="D242" s="243">
        <v>0.77777777777777779</v>
      </c>
      <c r="E242" s="243">
        <f t="shared" si="10"/>
        <v>3.4722222222222099E-3</v>
      </c>
      <c r="F242" s="196" t="s">
        <v>1054</v>
      </c>
      <c r="G242" s="128" t="s">
        <v>1084</v>
      </c>
      <c r="H242" s="196" t="s">
        <v>44</v>
      </c>
      <c r="I242" s="196"/>
    </row>
    <row r="243" spans="1:9" x14ac:dyDescent="0.3">
      <c r="A243" s="198">
        <v>45907</v>
      </c>
      <c r="B243" s="199" t="s">
        <v>88</v>
      </c>
      <c r="C243" s="243">
        <v>0.77777777777777779</v>
      </c>
      <c r="D243" s="243">
        <v>0.78819444444444442</v>
      </c>
      <c r="E243" s="243">
        <f t="shared" si="10"/>
        <v>1.041666666666663E-2</v>
      </c>
      <c r="F243" s="196" t="s">
        <v>1054</v>
      </c>
      <c r="G243" s="230" t="s">
        <v>1165</v>
      </c>
      <c r="H243" s="196" t="s">
        <v>44</v>
      </c>
      <c r="I243" s="225"/>
    </row>
    <row r="244" spans="1:9" x14ac:dyDescent="0.3">
      <c r="A244" s="198">
        <v>45907</v>
      </c>
      <c r="B244" s="199" t="s">
        <v>88</v>
      </c>
      <c r="C244" s="243">
        <v>0.78819444444444442</v>
      </c>
      <c r="D244" s="243">
        <v>0.79861111111111116</v>
      </c>
      <c r="E244" s="243">
        <f t="shared" si="10"/>
        <v>1.0416666666666741E-2</v>
      </c>
      <c r="F244" s="196" t="s">
        <v>1054</v>
      </c>
      <c r="G244" s="143" t="s">
        <v>1200</v>
      </c>
      <c r="H244" s="196" t="s">
        <v>44</v>
      </c>
      <c r="I244" s="225"/>
    </row>
    <row r="245" spans="1:9" x14ac:dyDescent="0.3">
      <c r="A245" s="198">
        <v>45907</v>
      </c>
      <c r="B245" s="199" t="s">
        <v>88</v>
      </c>
      <c r="C245" s="243">
        <v>0.79861111111111116</v>
      </c>
      <c r="D245" s="243">
        <v>0.91666666666666663</v>
      </c>
      <c r="E245" s="243">
        <f t="shared" si="10"/>
        <v>0.11805555555555547</v>
      </c>
      <c r="F245" s="196" t="s">
        <v>1054</v>
      </c>
      <c r="G245" s="125" t="s">
        <v>1222</v>
      </c>
      <c r="H245" s="196"/>
      <c r="I245" s="196"/>
    </row>
    <row r="246" spans="1:9" x14ac:dyDescent="0.3">
      <c r="A246" s="198">
        <v>45907</v>
      </c>
      <c r="B246" s="199" t="s">
        <v>88</v>
      </c>
      <c r="C246" s="243">
        <v>0.91666666666666663</v>
      </c>
      <c r="D246" s="243">
        <v>0.9375</v>
      </c>
      <c r="E246" s="243">
        <f t="shared" si="10"/>
        <v>2.083333333333337E-2</v>
      </c>
      <c r="F246" s="196" t="s">
        <v>1054</v>
      </c>
      <c r="G246" s="125" t="s">
        <v>1201</v>
      </c>
      <c r="H246" s="196" t="s">
        <v>44</v>
      </c>
      <c r="I246" s="225"/>
    </row>
    <row r="247" spans="1:9" x14ac:dyDescent="0.3">
      <c r="A247" s="198">
        <v>45907</v>
      </c>
      <c r="B247" s="199" t="s">
        <v>88</v>
      </c>
      <c r="C247" s="243"/>
      <c r="D247" s="243"/>
      <c r="E247" s="243">
        <f t="shared" si="10"/>
        <v>0</v>
      </c>
      <c r="F247" s="196" t="s">
        <v>1054</v>
      </c>
      <c r="G247" s="125"/>
      <c r="H247" s="225"/>
      <c r="I247" s="225"/>
    </row>
    <row r="248" spans="1:9" x14ac:dyDescent="0.3">
      <c r="A248" s="13"/>
      <c r="B248" s="13"/>
      <c r="C248" s="13"/>
      <c r="D248" s="13"/>
      <c r="E248" s="13"/>
      <c r="F248" s="13"/>
      <c r="G248" s="13"/>
      <c r="H248" s="13"/>
      <c r="I248" s="13"/>
    </row>
    <row r="249" spans="1:9" x14ac:dyDescent="0.3">
      <c r="A249" s="190" t="s">
        <v>1</v>
      </c>
      <c r="B249" s="208" t="s">
        <v>2</v>
      </c>
      <c r="C249" s="209" t="s">
        <v>3</v>
      </c>
      <c r="D249" s="210"/>
      <c r="E249" s="211" t="s">
        <v>4</v>
      </c>
      <c r="F249" s="190" t="s">
        <v>5</v>
      </c>
      <c r="G249" s="190" t="s">
        <v>6</v>
      </c>
      <c r="H249" s="190" t="s">
        <v>7</v>
      </c>
      <c r="I249" s="190" t="s">
        <v>8</v>
      </c>
    </row>
    <row r="250" spans="1:9" x14ac:dyDescent="0.3">
      <c r="A250" s="212"/>
      <c r="B250" s="213"/>
      <c r="C250" s="196" t="s">
        <v>9</v>
      </c>
      <c r="D250" s="196" t="s">
        <v>10</v>
      </c>
      <c r="E250" s="214"/>
      <c r="F250" s="215"/>
      <c r="G250" s="215"/>
      <c r="H250" s="215"/>
      <c r="I250" s="215"/>
    </row>
    <row r="251" spans="1:9" x14ac:dyDescent="0.3">
      <c r="A251" s="198">
        <v>45937</v>
      </c>
      <c r="B251" s="199" t="s">
        <v>91</v>
      </c>
      <c r="C251" s="200">
        <v>0.25</v>
      </c>
      <c r="D251" s="200">
        <v>0.27430555555555558</v>
      </c>
      <c r="E251" s="201">
        <f t="shared" ref="E251:E262" si="11">D251-C251</f>
        <v>2.430555555555558E-2</v>
      </c>
      <c r="F251" s="202" t="s">
        <v>1054</v>
      </c>
      <c r="G251" s="203" t="s">
        <v>1181</v>
      </c>
      <c r="H251" s="196" t="s">
        <v>1056</v>
      </c>
      <c r="I251" s="216"/>
    </row>
    <row r="252" spans="1:9" x14ac:dyDescent="0.3">
      <c r="A252" s="198">
        <v>45937</v>
      </c>
      <c r="B252" s="199" t="s">
        <v>91</v>
      </c>
      <c r="C252" s="200">
        <v>0.27430555555555558</v>
      </c>
      <c r="D252" s="205">
        <v>0.2986111111111111</v>
      </c>
      <c r="E252" s="201">
        <f t="shared" si="11"/>
        <v>2.4305555555555525E-2</v>
      </c>
      <c r="F252" s="202" t="s">
        <v>1054</v>
      </c>
      <c r="G252" s="125" t="s">
        <v>1182</v>
      </c>
      <c r="H252" s="204"/>
      <c r="I252" s="204"/>
    </row>
    <row r="253" spans="1:9" x14ac:dyDescent="0.3">
      <c r="A253" s="198">
        <v>45937</v>
      </c>
      <c r="B253" s="199" t="s">
        <v>91</v>
      </c>
      <c r="C253" s="205">
        <v>0.2986111111111111</v>
      </c>
      <c r="D253" s="205">
        <v>0.30208333333333331</v>
      </c>
      <c r="E253" s="201">
        <f t="shared" si="11"/>
        <v>3.4722222222222099E-3</v>
      </c>
      <c r="F253" s="202" t="s">
        <v>1054</v>
      </c>
      <c r="G253" s="125" t="s">
        <v>80</v>
      </c>
      <c r="H253" s="204" t="s">
        <v>44</v>
      </c>
      <c r="I253" s="204"/>
    </row>
    <row r="254" spans="1:9" x14ac:dyDescent="0.3">
      <c r="A254" s="198">
        <v>45937</v>
      </c>
      <c r="B254" s="199" t="s">
        <v>91</v>
      </c>
      <c r="C254" s="205">
        <v>0.30208333333333331</v>
      </c>
      <c r="D254" s="205">
        <v>0.33333333333333331</v>
      </c>
      <c r="E254" s="201">
        <f t="shared" si="11"/>
        <v>3.125E-2</v>
      </c>
      <c r="F254" s="222" t="s">
        <v>1054</v>
      </c>
      <c r="G254" s="125" t="s">
        <v>1183</v>
      </c>
      <c r="H254" s="199" t="s">
        <v>1162</v>
      </c>
      <c r="I254" s="204"/>
    </row>
    <row r="255" spans="1:9" x14ac:dyDescent="0.3">
      <c r="A255" s="198">
        <v>45937</v>
      </c>
      <c r="B255" s="199" t="s">
        <v>91</v>
      </c>
      <c r="C255" s="205">
        <v>0.33333333333333331</v>
      </c>
      <c r="D255" s="205">
        <v>0.34375</v>
      </c>
      <c r="E255" s="201">
        <f t="shared" si="11"/>
        <v>1.0416666666666685E-2</v>
      </c>
      <c r="F255" s="196" t="s">
        <v>1054</v>
      </c>
      <c r="G255" s="223" t="s">
        <v>1223</v>
      </c>
      <c r="H255" s="204" t="s">
        <v>44</v>
      </c>
      <c r="I255" s="204"/>
    </row>
    <row r="256" spans="1:9" x14ac:dyDescent="0.3">
      <c r="A256" s="198">
        <v>45937</v>
      </c>
      <c r="B256" s="199" t="s">
        <v>91</v>
      </c>
      <c r="C256" s="205">
        <v>0.34375</v>
      </c>
      <c r="D256" s="205">
        <v>0.34722222222222221</v>
      </c>
      <c r="E256" s="201">
        <f t="shared" si="11"/>
        <v>3.4722222222222099E-3</v>
      </c>
      <c r="F256" s="227" t="s">
        <v>1054</v>
      </c>
      <c r="G256" s="230" t="s">
        <v>1224</v>
      </c>
      <c r="H256" s="229" t="s">
        <v>44</v>
      </c>
      <c r="I256" s="199"/>
    </row>
    <row r="257" spans="1:9" x14ac:dyDescent="0.3">
      <c r="A257" s="198">
        <v>45937</v>
      </c>
      <c r="B257" s="199" t="s">
        <v>91</v>
      </c>
      <c r="C257" s="205">
        <v>0.34722222222222221</v>
      </c>
      <c r="D257" s="205">
        <v>0.36458333333333331</v>
      </c>
      <c r="E257" s="201">
        <f t="shared" si="11"/>
        <v>1.7361111111111105E-2</v>
      </c>
      <c r="F257" s="196" t="s">
        <v>1054</v>
      </c>
      <c r="G257" s="223" t="s">
        <v>1225</v>
      </c>
      <c r="H257" s="204" t="s">
        <v>44</v>
      </c>
      <c r="I257" s="199"/>
    </row>
    <row r="258" spans="1:9" x14ac:dyDescent="0.3">
      <c r="A258" s="198">
        <v>45937</v>
      </c>
      <c r="B258" s="199" t="s">
        <v>91</v>
      </c>
      <c r="C258" s="205">
        <v>0.36458333333333331</v>
      </c>
      <c r="D258" s="205">
        <v>0.37152777777777779</v>
      </c>
      <c r="E258" s="201">
        <f t="shared" si="11"/>
        <v>6.9444444444444753E-3</v>
      </c>
      <c r="F258" s="224" t="s">
        <v>1054</v>
      </c>
      <c r="G258" s="128" t="s">
        <v>1226</v>
      </c>
      <c r="H258" s="204" t="s">
        <v>44</v>
      </c>
      <c r="I258" s="199"/>
    </row>
    <row r="259" spans="1:9" x14ac:dyDescent="0.3">
      <c r="A259" s="198">
        <v>45937</v>
      </c>
      <c r="B259" s="199" t="s">
        <v>91</v>
      </c>
      <c r="C259" s="205">
        <v>0.37152777777777779</v>
      </c>
      <c r="D259" s="205">
        <v>0.37847222222222221</v>
      </c>
      <c r="E259" s="201">
        <f t="shared" si="11"/>
        <v>6.9444444444444198E-3</v>
      </c>
      <c r="F259" s="202" t="s">
        <v>1054</v>
      </c>
      <c r="G259" s="128" t="s">
        <v>1227</v>
      </c>
      <c r="H259" s="204" t="s">
        <v>44</v>
      </c>
      <c r="I259" s="199"/>
    </row>
    <row r="260" spans="1:9" x14ac:dyDescent="0.3">
      <c r="A260" s="198">
        <v>45937</v>
      </c>
      <c r="B260" s="199" t="s">
        <v>91</v>
      </c>
      <c r="C260" s="205">
        <v>0.37847222222222221</v>
      </c>
      <c r="D260" s="205">
        <v>0.38541666666666669</v>
      </c>
      <c r="E260" s="201">
        <f t="shared" si="11"/>
        <v>6.9444444444444753E-3</v>
      </c>
      <c r="F260" s="222" t="s">
        <v>1054</v>
      </c>
      <c r="G260" s="128" t="s">
        <v>1084</v>
      </c>
      <c r="H260" s="204" t="s">
        <v>44</v>
      </c>
      <c r="I260" s="199"/>
    </row>
    <row r="261" spans="1:9" x14ac:dyDescent="0.3">
      <c r="A261" s="198">
        <v>45937</v>
      </c>
      <c r="B261" s="199" t="s">
        <v>91</v>
      </c>
      <c r="C261" s="205">
        <v>0.38541666666666669</v>
      </c>
      <c r="D261" s="231">
        <v>0.39930555555555558</v>
      </c>
      <c r="E261" s="201">
        <f t="shared" si="11"/>
        <v>1.3888888888888895E-2</v>
      </c>
      <c r="F261" s="196" t="s">
        <v>1054</v>
      </c>
      <c r="G261" s="230" t="s">
        <v>1165</v>
      </c>
      <c r="H261" s="204" t="s">
        <v>44</v>
      </c>
      <c r="I261" s="199"/>
    </row>
    <row r="262" spans="1:9" x14ac:dyDescent="0.3">
      <c r="A262" s="198">
        <v>45937</v>
      </c>
      <c r="B262" s="199" t="s">
        <v>91</v>
      </c>
      <c r="C262" s="231">
        <v>0.39930555555555558</v>
      </c>
      <c r="D262" s="205">
        <v>0.4201388888888889</v>
      </c>
      <c r="E262" s="201">
        <f t="shared" si="11"/>
        <v>2.0833333333333315E-2</v>
      </c>
      <c r="F262" s="196" t="s">
        <v>1054</v>
      </c>
      <c r="G262" s="233" t="s">
        <v>1228</v>
      </c>
      <c r="H262" s="204" t="s">
        <v>44</v>
      </c>
      <c r="I262" s="199"/>
    </row>
    <row r="263" spans="1:9" x14ac:dyDescent="0.3">
      <c r="A263" s="198">
        <v>45937</v>
      </c>
      <c r="B263" s="199" t="s">
        <v>91</v>
      </c>
      <c r="C263" s="205">
        <v>0.4201388888888889</v>
      </c>
      <c r="D263" s="205">
        <v>0.42708333333333331</v>
      </c>
      <c r="E263" s="201">
        <f>D263-C263</f>
        <v>6.9444444444444198E-3</v>
      </c>
      <c r="F263" s="224" t="s">
        <v>1054</v>
      </c>
      <c r="G263" s="128" t="s">
        <v>225</v>
      </c>
      <c r="H263" s="229" t="s">
        <v>1229</v>
      </c>
      <c r="I263" s="199"/>
    </row>
    <row r="264" spans="1:9" x14ac:dyDescent="0.3">
      <c r="A264" s="198">
        <v>45937</v>
      </c>
      <c r="B264" s="199" t="s">
        <v>91</v>
      </c>
      <c r="C264" s="205">
        <v>0.42708333333333331</v>
      </c>
      <c r="D264" s="205">
        <v>0.50347222222222221</v>
      </c>
      <c r="E264" s="201">
        <f>D264-C264</f>
        <v>7.6388888888888895E-2</v>
      </c>
      <c r="F264" s="202" t="s">
        <v>1054</v>
      </c>
      <c r="G264" s="230" t="s">
        <v>1230</v>
      </c>
      <c r="H264" s="244" t="s">
        <v>44</v>
      </c>
      <c r="I264" s="199"/>
    </row>
    <row r="265" spans="1:9" x14ac:dyDescent="0.3">
      <c r="A265" s="198">
        <v>45937</v>
      </c>
      <c r="B265" s="199" t="s">
        <v>91</v>
      </c>
      <c r="C265" s="205">
        <v>0.50347222222222221</v>
      </c>
      <c r="D265" s="205">
        <v>0.54166666666666663</v>
      </c>
      <c r="E265" s="201">
        <f>D265-C265</f>
        <v>3.819444444444442E-2</v>
      </c>
      <c r="F265" s="202" t="s">
        <v>1054</v>
      </c>
      <c r="G265" s="245" t="s">
        <v>1173</v>
      </c>
      <c r="H265" s="246" t="s">
        <v>673</v>
      </c>
      <c r="I265" s="235"/>
    </row>
    <row r="266" spans="1:9" x14ac:dyDescent="0.3">
      <c r="A266" s="198">
        <v>45937</v>
      </c>
      <c r="B266" s="199" t="s">
        <v>91</v>
      </c>
      <c r="C266" s="205">
        <v>0.54166666666666663</v>
      </c>
      <c r="D266" s="205">
        <v>0.55208333333333337</v>
      </c>
      <c r="E266" s="201">
        <f>D266-C266</f>
        <v>1.0416666666666741E-2</v>
      </c>
      <c r="F266" s="202" t="s">
        <v>1054</v>
      </c>
      <c r="G266" s="247" t="s">
        <v>1215</v>
      </c>
      <c r="H266" s="196" t="s">
        <v>225</v>
      </c>
      <c r="I266" s="241"/>
    </row>
    <row r="267" spans="1:9" x14ac:dyDescent="0.3">
      <c r="A267" s="198">
        <v>45937</v>
      </c>
      <c r="B267" s="199" t="s">
        <v>91</v>
      </c>
      <c r="C267" s="205">
        <v>0.54166666666666663</v>
      </c>
      <c r="D267" s="205">
        <v>0.55208333333333337</v>
      </c>
      <c r="E267" s="201">
        <f t="shared" ref="E267:E271" si="12">D267-C267</f>
        <v>1.0416666666666741E-2</v>
      </c>
      <c r="F267" s="202" t="s">
        <v>1054</v>
      </c>
      <c r="G267" s="203" t="s">
        <v>1176</v>
      </c>
      <c r="H267" s="196" t="s">
        <v>44</v>
      </c>
      <c r="I267" s="248"/>
    </row>
    <row r="268" spans="1:9" x14ac:dyDescent="0.3">
      <c r="A268" s="198">
        <v>45937</v>
      </c>
      <c r="B268" s="199" t="s">
        <v>91</v>
      </c>
      <c r="C268" s="205">
        <v>0.55208333333333337</v>
      </c>
      <c r="D268" s="205">
        <v>0.55555555555555558</v>
      </c>
      <c r="E268" s="201">
        <f t="shared" si="12"/>
        <v>3.4722222222222099E-3</v>
      </c>
      <c r="F268" s="202" t="s">
        <v>1054</v>
      </c>
      <c r="G268" s="249" t="s">
        <v>1084</v>
      </c>
      <c r="H268" s="196" t="s">
        <v>44</v>
      </c>
      <c r="I268" s="248"/>
    </row>
    <row r="269" spans="1:9" x14ac:dyDescent="0.3">
      <c r="A269" s="198">
        <v>45937</v>
      </c>
      <c r="B269" s="199" t="s">
        <v>91</v>
      </c>
      <c r="C269" s="205">
        <v>0.55555555555555558</v>
      </c>
      <c r="D269" s="205">
        <v>0.5625</v>
      </c>
      <c r="E269" s="201">
        <f t="shared" si="12"/>
        <v>6.9444444444444198E-3</v>
      </c>
      <c r="F269" s="202" t="s">
        <v>1054</v>
      </c>
      <c r="G269" s="230" t="s">
        <v>1165</v>
      </c>
      <c r="H269" s="229" t="s">
        <v>44</v>
      </c>
      <c r="I269" s="225"/>
    </row>
    <row r="270" spans="1:9" x14ac:dyDescent="0.3">
      <c r="A270" s="198">
        <v>45937</v>
      </c>
      <c r="B270" s="199" t="s">
        <v>91</v>
      </c>
      <c r="C270" s="205">
        <v>0.5625</v>
      </c>
      <c r="D270" s="205">
        <v>0.60763888888888884</v>
      </c>
      <c r="E270" s="201">
        <f t="shared" si="12"/>
        <v>4.513888888888884E-2</v>
      </c>
      <c r="F270" s="202" t="s">
        <v>1054</v>
      </c>
      <c r="G270" s="250" t="s">
        <v>1231</v>
      </c>
      <c r="H270" s="246" t="s">
        <v>673</v>
      </c>
      <c r="I270" s="225"/>
    </row>
    <row r="271" spans="1:9" x14ac:dyDescent="0.3">
      <c r="A271" s="198">
        <v>45937</v>
      </c>
      <c r="B271" s="199" t="s">
        <v>91</v>
      </c>
      <c r="C271" s="205">
        <v>0.60763888888888884</v>
      </c>
      <c r="D271" s="205">
        <v>0.63194444444444442</v>
      </c>
      <c r="E271" s="201">
        <f t="shared" si="12"/>
        <v>2.430555555555558E-2</v>
      </c>
      <c r="F271" s="202" t="s">
        <v>1054</v>
      </c>
      <c r="G271" s="230" t="s">
        <v>1232</v>
      </c>
      <c r="H271" s="248"/>
      <c r="I271" s="225"/>
    </row>
    <row r="272" spans="1:9" x14ac:dyDescent="0.3">
      <c r="B272" s="13" t="s">
        <v>93</v>
      </c>
      <c r="C272" s="13" t="s">
        <v>1233</v>
      </c>
      <c r="D272" s="13"/>
      <c r="E272" s="13"/>
      <c r="F272" s="13"/>
      <c r="G272" s="13"/>
      <c r="H272" s="13"/>
      <c r="I272" s="13"/>
    </row>
    <row r="273" spans="1:9" x14ac:dyDescent="0.3">
      <c r="A273" s="190" t="s">
        <v>1</v>
      </c>
      <c r="B273" s="208" t="s">
        <v>2</v>
      </c>
      <c r="C273" s="209" t="s">
        <v>3</v>
      </c>
      <c r="D273" s="210"/>
      <c r="E273" s="211" t="s">
        <v>4</v>
      </c>
      <c r="F273" s="190" t="s">
        <v>5</v>
      </c>
      <c r="G273" s="190" t="s">
        <v>6</v>
      </c>
      <c r="H273" s="190" t="s">
        <v>7</v>
      </c>
      <c r="I273" s="190" t="s">
        <v>8</v>
      </c>
    </row>
    <row r="274" spans="1:9" x14ac:dyDescent="0.3">
      <c r="A274" s="212"/>
      <c r="B274" s="213"/>
      <c r="C274" s="196" t="s">
        <v>9</v>
      </c>
      <c r="D274" s="196" t="s">
        <v>10</v>
      </c>
      <c r="E274" s="214"/>
      <c r="F274" s="215"/>
      <c r="G274" s="215"/>
      <c r="H274" s="215"/>
      <c r="I274" s="215"/>
    </row>
    <row r="275" spans="1:9" x14ac:dyDescent="0.3">
      <c r="A275" s="198">
        <v>45998</v>
      </c>
      <c r="B275" s="199" t="s">
        <v>311</v>
      </c>
      <c r="C275" s="200">
        <v>0.25</v>
      </c>
      <c r="D275" s="200">
        <v>0.27430555555555558</v>
      </c>
      <c r="E275" s="201">
        <f t="shared" ref="E275:E286" si="13">D275-C275</f>
        <v>2.430555555555558E-2</v>
      </c>
      <c r="F275" s="202" t="s">
        <v>1054</v>
      </c>
      <c r="G275" s="203" t="s">
        <v>1181</v>
      </c>
      <c r="H275" s="196" t="s">
        <v>1056</v>
      </c>
      <c r="I275" s="216"/>
    </row>
    <row r="276" spans="1:9" x14ac:dyDescent="0.3">
      <c r="A276" s="198">
        <v>45998</v>
      </c>
      <c r="B276" s="199" t="s">
        <v>311</v>
      </c>
      <c r="C276" s="200">
        <v>0.27430555555555558</v>
      </c>
      <c r="D276" s="205">
        <v>0.2986111111111111</v>
      </c>
      <c r="E276" s="201">
        <f t="shared" si="13"/>
        <v>2.4305555555555525E-2</v>
      </c>
      <c r="F276" s="202" t="s">
        <v>1054</v>
      </c>
      <c r="G276" s="125" t="s">
        <v>1182</v>
      </c>
      <c r="H276" s="196" t="s">
        <v>44</v>
      </c>
      <c r="I276" s="204"/>
    </row>
    <row r="277" spans="1:9" x14ac:dyDescent="0.3">
      <c r="A277" s="198">
        <v>45998</v>
      </c>
      <c r="B277" s="199" t="s">
        <v>311</v>
      </c>
      <c r="C277" s="205">
        <v>0.2986111111111111</v>
      </c>
      <c r="D277" s="205">
        <v>0.30555555555555558</v>
      </c>
      <c r="E277" s="201">
        <f t="shared" si="13"/>
        <v>6.9444444444444753E-3</v>
      </c>
      <c r="F277" s="202" t="s">
        <v>1054</v>
      </c>
      <c r="G277" s="128" t="s">
        <v>1226</v>
      </c>
      <c r="H277" s="196" t="s">
        <v>44</v>
      </c>
      <c r="I277" s="204"/>
    </row>
    <row r="278" spans="1:9" x14ac:dyDescent="0.3">
      <c r="A278" s="198">
        <v>45998</v>
      </c>
      <c r="B278" s="199" t="s">
        <v>311</v>
      </c>
      <c r="C278" s="205">
        <v>0.30555555555555558</v>
      </c>
      <c r="D278" s="205">
        <v>0.30902777777777779</v>
      </c>
      <c r="E278" s="201">
        <f t="shared" si="13"/>
        <v>3.4722222222222099E-3</v>
      </c>
      <c r="F278" s="222" t="s">
        <v>1054</v>
      </c>
      <c r="G278" s="128" t="s">
        <v>1227</v>
      </c>
      <c r="H278" s="196" t="s">
        <v>44</v>
      </c>
      <c r="I278" s="204"/>
    </row>
    <row r="279" spans="1:9" x14ac:dyDescent="0.3">
      <c r="A279" s="198">
        <v>45998</v>
      </c>
      <c r="B279" s="199" t="s">
        <v>311</v>
      </c>
      <c r="C279" s="205">
        <v>0.30902777777777779</v>
      </c>
      <c r="D279" s="205">
        <v>0.3263888888888889</v>
      </c>
      <c r="E279" s="201">
        <f t="shared" si="13"/>
        <v>1.7361111111111105E-2</v>
      </c>
      <c r="F279" s="202" t="s">
        <v>1054</v>
      </c>
      <c r="G279" s="230" t="s">
        <v>1234</v>
      </c>
      <c r="H279" s="216" t="s">
        <v>44</v>
      </c>
      <c r="I279" s="204"/>
    </row>
    <row r="280" spans="1:9" x14ac:dyDescent="0.3">
      <c r="A280" s="198">
        <v>45998</v>
      </c>
      <c r="B280" s="199" t="s">
        <v>311</v>
      </c>
      <c r="C280" s="205">
        <v>0.3263888888888889</v>
      </c>
      <c r="D280" s="205">
        <v>0.33333333333333331</v>
      </c>
      <c r="E280" s="201">
        <f t="shared" si="13"/>
        <v>6.9444444444444198E-3</v>
      </c>
      <c r="F280" s="227" t="s">
        <v>1054</v>
      </c>
      <c r="G280" s="251" t="s">
        <v>1235</v>
      </c>
      <c r="H280" s="196" t="s">
        <v>44</v>
      </c>
      <c r="I280" s="199"/>
    </row>
    <row r="281" spans="1:9" x14ac:dyDescent="0.3">
      <c r="A281" s="198">
        <v>45998</v>
      </c>
      <c r="B281" s="199" t="s">
        <v>311</v>
      </c>
      <c r="C281" s="205">
        <v>0.33333333333333331</v>
      </c>
      <c r="D281" s="205">
        <v>0.34375</v>
      </c>
      <c r="E281" s="201">
        <f t="shared" si="13"/>
        <v>1.0416666666666685E-2</v>
      </c>
      <c r="F281" s="196" t="s">
        <v>1054</v>
      </c>
      <c r="G281" s="223" t="s">
        <v>1236</v>
      </c>
      <c r="H281" s="196" t="s">
        <v>44</v>
      </c>
      <c r="I281" s="199"/>
    </row>
    <row r="282" spans="1:9" x14ac:dyDescent="0.3">
      <c r="A282" s="198">
        <v>45998</v>
      </c>
      <c r="B282" s="199" t="s">
        <v>311</v>
      </c>
      <c r="C282" s="205">
        <v>0.34375</v>
      </c>
      <c r="D282" s="205">
        <v>0.34722222222222221</v>
      </c>
      <c r="E282" s="201">
        <f t="shared" si="13"/>
        <v>3.4722222222222099E-3</v>
      </c>
      <c r="F282" s="224" t="s">
        <v>1054</v>
      </c>
      <c r="G282" s="249" t="s">
        <v>1084</v>
      </c>
      <c r="H282" s="196" t="s">
        <v>44</v>
      </c>
      <c r="I282" s="199"/>
    </row>
    <row r="283" spans="1:9" x14ac:dyDescent="0.3">
      <c r="A283" s="198">
        <v>45998</v>
      </c>
      <c r="B283" s="199" t="s">
        <v>311</v>
      </c>
      <c r="C283" s="205">
        <v>0.34722222222222221</v>
      </c>
      <c r="D283" s="205">
        <v>0.3576388888888889</v>
      </c>
      <c r="E283" s="201">
        <f t="shared" si="13"/>
        <v>1.0416666666666685E-2</v>
      </c>
      <c r="F283" s="222" t="s">
        <v>1054</v>
      </c>
      <c r="G283" s="230" t="s">
        <v>1165</v>
      </c>
      <c r="H283" s="196" t="s">
        <v>44</v>
      </c>
      <c r="I283" s="199"/>
    </row>
    <row r="284" spans="1:9" x14ac:dyDescent="0.3">
      <c r="A284" s="198">
        <v>45998</v>
      </c>
      <c r="B284" s="199" t="s">
        <v>311</v>
      </c>
      <c r="C284" s="205">
        <v>0.3576388888888889</v>
      </c>
      <c r="D284" s="205">
        <v>0.36458333333333331</v>
      </c>
      <c r="E284" s="201">
        <f t="shared" si="13"/>
        <v>6.9444444444444198E-3</v>
      </c>
      <c r="F284" s="196" t="s">
        <v>1054</v>
      </c>
      <c r="G284" s="223" t="s">
        <v>1237</v>
      </c>
      <c r="H284" s="196" t="s">
        <v>44</v>
      </c>
      <c r="I284" s="199"/>
    </row>
    <row r="285" spans="1:9" x14ac:dyDescent="0.3">
      <c r="A285" s="198">
        <v>45998</v>
      </c>
      <c r="B285" s="199" t="s">
        <v>311</v>
      </c>
      <c r="C285" s="205">
        <v>0.36458333333333331</v>
      </c>
      <c r="D285" s="231">
        <v>0.40625</v>
      </c>
      <c r="E285" s="201">
        <f t="shared" si="13"/>
        <v>4.1666666666666685E-2</v>
      </c>
      <c r="F285" s="252" t="s">
        <v>1054</v>
      </c>
      <c r="G285" s="230" t="s">
        <v>1238</v>
      </c>
      <c r="H285" s="196" t="s">
        <v>44</v>
      </c>
      <c r="I285" s="199"/>
    </row>
    <row r="286" spans="1:9" x14ac:dyDescent="0.3">
      <c r="A286" s="198">
        <v>45998</v>
      </c>
      <c r="B286" s="199" t="s">
        <v>311</v>
      </c>
      <c r="C286" s="231">
        <v>0.40625</v>
      </c>
      <c r="D286" s="205">
        <v>0.41666666666666669</v>
      </c>
      <c r="E286" s="201">
        <f t="shared" si="13"/>
        <v>1.0416666666666685E-2</v>
      </c>
      <c r="F286" s="196" t="s">
        <v>1054</v>
      </c>
      <c r="G286" s="233" t="s">
        <v>1239</v>
      </c>
      <c r="H286" s="196" t="s">
        <v>44</v>
      </c>
      <c r="I286" s="199"/>
    </row>
    <row r="287" spans="1:9" x14ac:dyDescent="0.3">
      <c r="A287" s="198">
        <v>45998</v>
      </c>
      <c r="B287" s="199" t="s">
        <v>311</v>
      </c>
      <c r="C287" s="205">
        <v>0.41666666666666669</v>
      </c>
      <c r="D287" s="205">
        <v>0.5</v>
      </c>
      <c r="E287" s="201">
        <f>D287-C287</f>
        <v>8.3333333333333315E-2</v>
      </c>
      <c r="F287" s="224" t="s">
        <v>1054</v>
      </c>
      <c r="G287" s="128" t="s">
        <v>1240</v>
      </c>
      <c r="H287" s="199" t="s">
        <v>1087</v>
      </c>
      <c r="I287" s="199"/>
    </row>
    <row r="288" spans="1:9" x14ac:dyDescent="0.3">
      <c r="A288" s="198">
        <v>45998</v>
      </c>
      <c r="B288" s="199" t="s">
        <v>311</v>
      </c>
      <c r="C288" s="205">
        <v>0.5</v>
      </c>
      <c r="D288" s="205">
        <v>0.53472222222222221</v>
      </c>
      <c r="E288" s="201">
        <f>D288-C288</f>
        <v>3.472222222222221E-2</v>
      </c>
      <c r="F288" s="202" t="s">
        <v>1054</v>
      </c>
      <c r="G288" s="230" t="s">
        <v>1221</v>
      </c>
      <c r="H288" s="244"/>
      <c r="I288" s="199"/>
    </row>
    <row r="289" spans="1:9" x14ac:dyDescent="0.3">
      <c r="A289" s="198">
        <v>45998</v>
      </c>
      <c r="B289" s="199" t="s">
        <v>311</v>
      </c>
      <c r="C289" s="205">
        <v>0.54166666666666663</v>
      </c>
      <c r="D289" s="205">
        <v>0.55208333333333337</v>
      </c>
      <c r="E289" s="201">
        <f>D289-C289</f>
        <v>1.0416666666666741E-2</v>
      </c>
      <c r="F289" s="202" t="s">
        <v>1054</v>
      </c>
      <c r="G289" s="225" t="s">
        <v>1215</v>
      </c>
      <c r="H289" s="246"/>
      <c r="I289" s="235"/>
    </row>
    <row r="290" spans="1:9" x14ac:dyDescent="0.3">
      <c r="A290" s="198">
        <v>45998</v>
      </c>
      <c r="B290" s="199" t="s">
        <v>311</v>
      </c>
      <c r="C290" s="205">
        <v>0.55208333333333337</v>
      </c>
      <c r="D290" s="205">
        <v>0.55902777777777779</v>
      </c>
      <c r="E290" s="201">
        <f>D290-C290</f>
        <v>6.9444444444444198E-3</v>
      </c>
      <c r="F290" s="202" t="s">
        <v>1054</v>
      </c>
      <c r="G290" s="125" t="s">
        <v>1176</v>
      </c>
      <c r="H290" s="196"/>
      <c r="I290" s="241"/>
    </row>
    <row r="291" spans="1:9" x14ac:dyDescent="0.3">
      <c r="A291" s="198">
        <v>45998</v>
      </c>
      <c r="B291" s="199" t="s">
        <v>311</v>
      </c>
      <c r="C291" s="205">
        <v>0.55902777777777779</v>
      </c>
      <c r="D291" s="205">
        <v>0.5625</v>
      </c>
      <c r="E291" s="201">
        <f t="shared" ref="E291:E304" si="14">D291-C291</f>
        <v>3.4722222222222099E-3</v>
      </c>
      <c r="F291" s="202" t="s">
        <v>1054</v>
      </c>
      <c r="G291" s="249" t="s">
        <v>1084</v>
      </c>
      <c r="H291" s="196" t="s">
        <v>44</v>
      </c>
      <c r="I291" s="248"/>
    </row>
    <row r="292" spans="1:9" x14ac:dyDescent="0.3">
      <c r="A292" s="198">
        <v>45998</v>
      </c>
      <c r="B292" s="199" t="s">
        <v>311</v>
      </c>
      <c r="C292" s="205">
        <v>0.5625</v>
      </c>
      <c r="D292" s="205">
        <v>0.57291666666666663</v>
      </c>
      <c r="E292" s="201">
        <f t="shared" si="14"/>
        <v>1.041666666666663E-2</v>
      </c>
      <c r="F292" s="202" t="s">
        <v>1054</v>
      </c>
      <c r="G292" s="230" t="s">
        <v>1165</v>
      </c>
      <c r="H292" s="196" t="s">
        <v>44</v>
      </c>
      <c r="I292" s="248"/>
    </row>
    <row r="293" spans="1:9" x14ac:dyDescent="0.3">
      <c r="A293" s="198">
        <v>45998</v>
      </c>
      <c r="B293" s="199" t="s">
        <v>311</v>
      </c>
      <c r="C293" s="205">
        <v>0.57291666666666663</v>
      </c>
      <c r="D293" s="205">
        <v>0.60069444444444442</v>
      </c>
      <c r="E293" s="201">
        <f t="shared" si="14"/>
        <v>2.777777777777779E-2</v>
      </c>
      <c r="F293" s="202" t="s">
        <v>1054</v>
      </c>
      <c r="G293" s="230" t="s">
        <v>1241</v>
      </c>
      <c r="H293" s="196" t="s">
        <v>44</v>
      </c>
      <c r="I293" s="225"/>
    </row>
    <row r="294" spans="1:9" x14ac:dyDescent="0.3">
      <c r="A294" s="198">
        <v>45998</v>
      </c>
      <c r="B294" s="199" t="s">
        <v>311</v>
      </c>
      <c r="C294" s="205">
        <v>0.60069444444444442</v>
      </c>
      <c r="D294" s="205">
        <v>0.61805555555555558</v>
      </c>
      <c r="E294" s="201">
        <f t="shared" si="14"/>
        <v>1.736111111111116E-2</v>
      </c>
      <c r="F294" s="202" t="s">
        <v>1054</v>
      </c>
      <c r="G294" s="250" t="s">
        <v>1242</v>
      </c>
      <c r="H294" s="246"/>
      <c r="I294" s="225"/>
    </row>
    <row r="295" spans="1:9" x14ac:dyDescent="0.3">
      <c r="A295" s="198">
        <v>45998</v>
      </c>
      <c r="B295" s="199" t="s">
        <v>311</v>
      </c>
      <c r="C295" s="205">
        <v>0.61805555555555558</v>
      </c>
      <c r="D295" s="205">
        <v>0.625</v>
      </c>
      <c r="E295" s="201">
        <f t="shared" si="14"/>
        <v>6.9444444444444198E-3</v>
      </c>
      <c r="F295" s="202" t="s">
        <v>1054</v>
      </c>
      <c r="G295" s="230" t="s">
        <v>1243</v>
      </c>
      <c r="H295" s="248"/>
      <c r="I295" s="225"/>
    </row>
    <row r="296" spans="1:9" x14ac:dyDescent="0.3">
      <c r="A296" s="198">
        <v>45998</v>
      </c>
      <c r="B296" s="199" t="s">
        <v>311</v>
      </c>
      <c r="C296" s="205">
        <v>0.625</v>
      </c>
      <c r="D296" s="205">
        <v>0.63541666666666663</v>
      </c>
      <c r="E296" s="201">
        <f t="shared" si="14"/>
        <v>1.041666666666663E-2</v>
      </c>
      <c r="F296" s="202" t="s">
        <v>1054</v>
      </c>
      <c r="G296" s="250" t="s">
        <v>1244</v>
      </c>
      <c r="H296" s="246"/>
      <c r="I296" s="225"/>
    </row>
    <row r="297" spans="1:9" x14ac:dyDescent="0.3">
      <c r="A297" s="198">
        <v>45998</v>
      </c>
      <c r="B297" s="199" t="s">
        <v>311</v>
      </c>
      <c r="C297" s="205">
        <v>0.63541666666666663</v>
      </c>
      <c r="D297" s="205">
        <v>0.66666666666666663</v>
      </c>
      <c r="E297" s="201">
        <f t="shared" si="14"/>
        <v>3.125E-2</v>
      </c>
      <c r="F297" s="202" t="s">
        <v>1054</v>
      </c>
      <c r="G297" s="230" t="s">
        <v>1245</v>
      </c>
      <c r="H297" s="248"/>
      <c r="I297" s="225"/>
    </row>
    <row r="298" spans="1:9" x14ac:dyDescent="0.3">
      <c r="A298" s="198">
        <v>45998</v>
      </c>
      <c r="B298" s="199" t="s">
        <v>311</v>
      </c>
      <c r="C298" s="205">
        <v>0.66666666666666663</v>
      </c>
      <c r="D298" s="205">
        <v>0.70833333333333337</v>
      </c>
      <c r="E298" s="201">
        <f t="shared" si="14"/>
        <v>4.1666666666666741E-2</v>
      </c>
      <c r="F298" s="202" t="s">
        <v>1054</v>
      </c>
      <c r="G298" s="250" t="s">
        <v>1246</v>
      </c>
      <c r="H298" s="246"/>
      <c r="I298" s="225"/>
    </row>
    <row r="299" spans="1:9" x14ac:dyDescent="0.3">
      <c r="A299" s="198">
        <v>45998</v>
      </c>
      <c r="B299" s="199" t="s">
        <v>311</v>
      </c>
      <c r="C299" s="205">
        <v>0.70833333333333337</v>
      </c>
      <c r="D299" s="205">
        <v>0.72916666666666663</v>
      </c>
      <c r="E299" s="201">
        <f t="shared" si="14"/>
        <v>2.0833333333333259E-2</v>
      </c>
      <c r="F299" s="202" t="s">
        <v>1054</v>
      </c>
      <c r="G299" s="230" t="s">
        <v>1247</v>
      </c>
      <c r="H299" s="248"/>
      <c r="I299" s="225"/>
    </row>
    <row r="300" spans="1:9" x14ac:dyDescent="0.3">
      <c r="A300" s="198">
        <v>45998</v>
      </c>
      <c r="B300" s="199" t="s">
        <v>311</v>
      </c>
      <c r="C300" s="205">
        <v>0.72916666666666663</v>
      </c>
      <c r="D300" s="205">
        <v>0.73611111111111116</v>
      </c>
      <c r="E300" s="201">
        <f t="shared" si="14"/>
        <v>6.9444444444445308E-3</v>
      </c>
      <c r="F300" s="202" t="s">
        <v>1054</v>
      </c>
      <c r="G300" s="250" t="s">
        <v>1248</v>
      </c>
      <c r="H300" s="246"/>
      <c r="I300" s="225"/>
    </row>
    <row r="301" spans="1:9" x14ac:dyDescent="0.3">
      <c r="A301" s="198">
        <v>45998</v>
      </c>
      <c r="B301" s="199" t="s">
        <v>311</v>
      </c>
      <c r="C301" s="205">
        <v>0.73611111111111116</v>
      </c>
      <c r="D301" s="205">
        <v>0.74305555555555558</v>
      </c>
      <c r="E301" s="201">
        <f t="shared" si="14"/>
        <v>6.9444444444444198E-3</v>
      </c>
      <c r="F301" s="202" t="s">
        <v>1054</v>
      </c>
      <c r="G301" s="250" t="s">
        <v>1249</v>
      </c>
      <c r="H301" s="248"/>
      <c r="I301" s="225"/>
    </row>
    <row r="302" spans="1:9" x14ac:dyDescent="0.3">
      <c r="A302" s="198">
        <v>45998</v>
      </c>
      <c r="B302" s="199" t="s">
        <v>311</v>
      </c>
      <c r="C302" s="205">
        <v>0.74305555555555558</v>
      </c>
      <c r="D302" s="205">
        <v>0.78125</v>
      </c>
      <c r="E302" s="201">
        <f t="shared" si="14"/>
        <v>3.819444444444442E-2</v>
      </c>
      <c r="F302" s="202" t="s">
        <v>1054</v>
      </c>
      <c r="G302" s="250" t="s">
        <v>1221</v>
      </c>
      <c r="H302" s="248"/>
      <c r="I302" s="225"/>
    </row>
    <row r="303" spans="1:9" x14ac:dyDescent="0.3">
      <c r="A303" s="198">
        <v>45998</v>
      </c>
      <c r="B303" s="199" t="s">
        <v>311</v>
      </c>
      <c r="C303" s="205">
        <v>0.78125</v>
      </c>
      <c r="D303" s="205">
        <v>0.83333333333333337</v>
      </c>
      <c r="E303" s="201">
        <f t="shared" si="14"/>
        <v>5.208333333333337E-2</v>
      </c>
      <c r="F303" s="202" t="s">
        <v>1054</v>
      </c>
      <c r="G303" s="250" t="s">
        <v>1250</v>
      </c>
      <c r="H303" s="253" t="s">
        <v>673</v>
      </c>
      <c r="I303" s="225"/>
    </row>
    <row r="304" spans="1:9" x14ac:dyDescent="0.3">
      <c r="A304" s="198">
        <v>45998</v>
      </c>
      <c r="B304" s="199" t="s">
        <v>311</v>
      </c>
      <c r="C304" s="205">
        <v>0.83333333333333337</v>
      </c>
      <c r="D304" s="205">
        <v>0.875</v>
      </c>
      <c r="E304" s="201">
        <f t="shared" si="14"/>
        <v>4.166666666666663E-2</v>
      </c>
      <c r="F304" s="202" t="s">
        <v>1054</v>
      </c>
      <c r="G304" s="125" t="s">
        <v>1201</v>
      </c>
      <c r="H304" s="248"/>
      <c r="I304" s="225"/>
    </row>
    <row r="305" spans="1:9" x14ac:dyDescent="0.3">
      <c r="A305" s="13"/>
      <c r="B305" s="13"/>
      <c r="C305" s="13"/>
      <c r="D305" s="13"/>
      <c r="E305" s="13"/>
      <c r="F305" s="13"/>
      <c r="G305" s="13"/>
      <c r="H305" s="13"/>
      <c r="I305" s="13"/>
    </row>
    <row r="306" spans="1:9" x14ac:dyDescent="0.3">
      <c r="A306" s="190" t="s">
        <v>1</v>
      </c>
      <c r="B306" s="208" t="s">
        <v>2</v>
      </c>
      <c r="C306" s="209" t="s">
        <v>3</v>
      </c>
      <c r="D306" s="210"/>
      <c r="E306" s="211" t="s">
        <v>4</v>
      </c>
      <c r="F306" s="190" t="s">
        <v>5</v>
      </c>
      <c r="G306" s="190" t="s">
        <v>6</v>
      </c>
      <c r="H306" s="190" t="s">
        <v>7</v>
      </c>
      <c r="I306" s="190" t="s">
        <v>8</v>
      </c>
    </row>
    <row r="307" spans="1:9" x14ac:dyDescent="0.3">
      <c r="A307" s="212"/>
      <c r="B307" s="213"/>
      <c r="C307" s="196" t="s">
        <v>9</v>
      </c>
      <c r="D307" s="196" t="s">
        <v>10</v>
      </c>
      <c r="E307" s="214"/>
      <c r="F307" s="215"/>
      <c r="G307" s="215"/>
      <c r="H307" s="215"/>
      <c r="I307" s="215"/>
    </row>
    <row r="308" spans="1:9" x14ac:dyDescent="0.3">
      <c r="A308" s="198" t="s">
        <v>1251</v>
      </c>
      <c r="B308" s="199" t="s">
        <v>12</v>
      </c>
      <c r="C308" s="200">
        <v>0.91666666666666663</v>
      </c>
      <c r="D308" s="200">
        <v>0.93402777777777779</v>
      </c>
      <c r="E308" s="201">
        <f t="shared" ref="E308:E330" si="15">D308-C308</f>
        <v>1.736111111111116E-2</v>
      </c>
      <c r="F308" s="202" t="s">
        <v>1054</v>
      </c>
      <c r="G308" s="203" t="s">
        <v>1252</v>
      </c>
      <c r="H308" s="196" t="s">
        <v>1056</v>
      </c>
      <c r="I308" s="216"/>
    </row>
    <row r="309" spans="1:9" x14ac:dyDescent="0.3">
      <c r="A309" s="198" t="s">
        <v>1251</v>
      </c>
      <c r="B309" s="199" t="s">
        <v>12</v>
      </c>
      <c r="C309" s="200">
        <v>0.93402777777777779</v>
      </c>
      <c r="D309" s="205">
        <v>0.94444444444444442</v>
      </c>
      <c r="E309" s="201">
        <f t="shared" si="15"/>
        <v>1.041666666666663E-2</v>
      </c>
      <c r="F309" s="202" t="s">
        <v>1054</v>
      </c>
      <c r="G309" s="125" t="s">
        <v>1253</v>
      </c>
      <c r="H309" s="196" t="s">
        <v>44</v>
      </c>
      <c r="I309" s="204"/>
    </row>
    <row r="310" spans="1:9" x14ac:dyDescent="0.3">
      <c r="A310" s="198" t="s">
        <v>1251</v>
      </c>
      <c r="B310" s="199" t="s">
        <v>12</v>
      </c>
      <c r="C310" s="205">
        <v>0.94444444444444442</v>
      </c>
      <c r="D310" s="205">
        <v>0.95833333333333337</v>
      </c>
      <c r="E310" s="201">
        <f t="shared" si="15"/>
        <v>1.3888888888888951E-2</v>
      </c>
      <c r="F310" s="202" t="s">
        <v>1054</v>
      </c>
      <c r="G310" s="128" t="s">
        <v>1254</v>
      </c>
      <c r="H310" s="196" t="s">
        <v>44</v>
      </c>
      <c r="I310" s="204"/>
    </row>
    <row r="311" spans="1:9" x14ac:dyDescent="0.3">
      <c r="A311" s="198" t="s">
        <v>1251</v>
      </c>
      <c r="B311" s="199" t="s">
        <v>12</v>
      </c>
      <c r="C311" s="205">
        <v>0.95833333333333337</v>
      </c>
      <c r="D311" s="205">
        <v>1.0104166666666667</v>
      </c>
      <c r="E311" s="201">
        <f t="shared" si="15"/>
        <v>5.208333333333337E-2</v>
      </c>
      <c r="F311" s="222" t="s">
        <v>1054</v>
      </c>
      <c r="G311" s="128" t="s">
        <v>1255</v>
      </c>
      <c r="H311" s="196" t="s">
        <v>44</v>
      </c>
      <c r="I311" s="204"/>
    </row>
    <row r="312" spans="1:9" x14ac:dyDescent="0.3">
      <c r="A312" s="198" t="s">
        <v>1251</v>
      </c>
      <c r="B312" s="199" t="s">
        <v>12</v>
      </c>
      <c r="C312" s="205">
        <v>1.0104166666666667</v>
      </c>
      <c r="D312" s="205">
        <v>3.125E-2</v>
      </c>
      <c r="E312" s="201">
        <v>2.0833333333333332E-2</v>
      </c>
      <c r="F312" s="202" t="s">
        <v>1054</v>
      </c>
      <c r="G312" s="143" t="s">
        <v>1256</v>
      </c>
      <c r="H312" s="216" t="s">
        <v>1257</v>
      </c>
      <c r="I312" s="204"/>
    </row>
    <row r="313" spans="1:9" x14ac:dyDescent="0.3">
      <c r="A313" s="198" t="s">
        <v>1251</v>
      </c>
      <c r="B313" s="199" t="s">
        <v>12</v>
      </c>
      <c r="C313" s="205">
        <v>3.125E-2</v>
      </c>
      <c r="D313" s="205">
        <v>4.1666666666666664E-2</v>
      </c>
      <c r="E313" s="201">
        <v>1.0416666666666666E-2</v>
      </c>
      <c r="F313" s="224" t="s">
        <v>1054</v>
      </c>
      <c r="G313" s="251" t="s">
        <v>1258</v>
      </c>
      <c r="H313" s="216" t="s">
        <v>225</v>
      </c>
      <c r="I313" s="204"/>
    </row>
    <row r="314" spans="1:9" x14ac:dyDescent="0.3">
      <c r="A314" s="198" t="s">
        <v>1251</v>
      </c>
      <c r="B314" s="199" t="s">
        <v>12</v>
      </c>
      <c r="C314" s="205">
        <v>4.1666666666666664E-2</v>
      </c>
      <c r="D314" s="205">
        <v>5.9027777777777776E-2</v>
      </c>
      <c r="E314" s="201">
        <f t="shared" si="15"/>
        <v>1.7361111111111112E-2</v>
      </c>
      <c r="F314" s="227" t="s">
        <v>1054</v>
      </c>
      <c r="G314" s="251" t="s">
        <v>1259</v>
      </c>
      <c r="H314" s="196" t="s">
        <v>44</v>
      </c>
      <c r="I314" s="199"/>
    </row>
    <row r="315" spans="1:9" x14ac:dyDescent="0.3">
      <c r="A315" s="198" t="s">
        <v>1251</v>
      </c>
      <c r="B315" s="199" t="s">
        <v>12</v>
      </c>
      <c r="C315" s="205">
        <v>5.9027777777777776E-2</v>
      </c>
      <c r="D315" s="205">
        <v>6.5972222222222224E-2</v>
      </c>
      <c r="E315" s="201">
        <f t="shared" si="15"/>
        <v>6.9444444444444475E-3</v>
      </c>
      <c r="F315" s="196" t="s">
        <v>1054</v>
      </c>
      <c r="G315" s="223" t="s">
        <v>1260</v>
      </c>
      <c r="H315" s="196" t="s">
        <v>44</v>
      </c>
      <c r="I315" s="199"/>
    </row>
    <row r="316" spans="1:9" x14ac:dyDescent="0.3">
      <c r="A316" s="198" t="s">
        <v>1251</v>
      </c>
      <c r="B316" s="199" t="s">
        <v>12</v>
      </c>
      <c r="C316" s="205">
        <v>6.5972222222222224E-2</v>
      </c>
      <c r="D316" s="205">
        <v>6.9444444444444448E-2</v>
      </c>
      <c r="E316" s="201">
        <f t="shared" si="15"/>
        <v>3.4722222222222238E-3</v>
      </c>
      <c r="F316" s="224" t="s">
        <v>1054</v>
      </c>
      <c r="G316" s="249" t="s">
        <v>1261</v>
      </c>
      <c r="H316" s="196" t="s">
        <v>44</v>
      </c>
      <c r="I316" s="199"/>
    </row>
    <row r="317" spans="1:9" x14ac:dyDescent="0.3">
      <c r="A317" s="198" t="s">
        <v>1251</v>
      </c>
      <c r="B317" s="199" t="s">
        <v>12</v>
      </c>
      <c r="C317" s="205">
        <v>6.9444444444444448E-2</v>
      </c>
      <c r="D317" s="205">
        <v>7.6388888888888895E-2</v>
      </c>
      <c r="E317" s="201">
        <f t="shared" si="15"/>
        <v>6.9444444444444475E-3</v>
      </c>
      <c r="F317" s="222" t="s">
        <v>1054</v>
      </c>
      <c r="G317" s="249" t="s">
        <v>1262</v>
      </c>
      <c r="H317" s="196" t="s">
        <v>44</v>
      </c>
      <c r="I317" s="199"/>
    </row>
    <row r="318" spans="1:9" x14ac:dyDescent="0.3">
      <c r="A318" s="198" t="s">
        <v>1251</v>
      </c>
      <c r="B318" s="199" t="s">
        <v>12</v>
      </c>
      <c r="C318" s="205">
        <v>7.6388888888888895E-2</v>
      </c>
      <c r="D318" s="205">
        <v>0.12152777777777778</v>
      </c>
      <c r="E318" s="201">
        <f t="shared" si="15"/>
        <v>4.5138888888888881E-2</v>
      </c>
      <c r="F318" s="202" t="s">
        <v>1054</v>
      </c>
      <c r="G318" s="230" t="s">
        <v>1263</v>
      </c>
      <c r="H318" s="196" t="s">
        <v>44</v>
      </c>
      <c r="I318" s="199"/>
    </row>
    <row r="319" spans="1:9" x14ac:dyDescent="0.3">
      <c r="A319" s="198" t="s">
        <v>1251</v>
      </c>
      <c r="B319" s="199" t="s">
        <v>12</v>
      </c>
      <c r="C319" s="205">
        <v>0.12152777777777778</v>
      </c>
      <c r="D319" s="231">
        <v>0.12847222222222221</v>
      </c>
      <c r="E319" s="201">
        <f t="shared" si="15"/>
        <v>6.9444444444444337E-3</v>
      </c>
      <c r="F319" s="252" t="s">
        <v>1054</v>
      </c>
      <c r="G319" s="251" t="s">
        <v>1264</v>
      </c>
      <c r="H319" s="196" t="s">
        <v>44</v>
      </c>
      <c r="I319" s="199"/>
    </row>
    <row r="320" spans="1:9" x14ac:dyDescent="0.3">
      <c r="A320" s="198" t="s">
        <v>1251</v>
      </c>
      <c r="B320" s="199" t="s">
        <v>12</v>
      </c>
      <c r="C320" s="231">
        <v>0.12847222222222221</v>
      </c>
      <c r="D320" s="205">
        <v>0.15277777777777779</v>
      </c>
      <c r="E320" s="201">
        <f t="shared" si="15"/>
        <v>2.430555555555558E-2</v>
      </c>
      <c r="F320" s="196" t="s">
        <v>1054</v>
      </c>
      <c r="G320" s="233" t="s">
        <v>1265</v>
      </c>
      <c r="H320" s="196"/>
      <c r="I320" s="199"/>
    </row>
    <row r="321" spans="1:9" x14ac:dyDescent="0.3">
      <c r="A321" s="198" t="s">
        <v>1251</v>
      </c>
      <c r="B321" s="199" t="s">
        <v>12</v>
      </c>
      <c r="C321" s="205">
        <v>0.15277777777777779</v>
      </c>
      <c r="D321" s="205">
        <v>0.16666666666666666</v>
      </c>
      <c r="E321" s="201">
        <f t="shared" si="15"/>
        <v>1.3888888888888867E-2</v>
      </c>
      <c r="F321" s="224" t="s">
        <v>1054</v>
      </c>
      <c r="G321" s="128" t="s">
        <v>1266</v>
      </c>
      <c r="H321" s="199"/>
      <c r="I321" s="199"/>
    </row>
    <row r="322" spans="1:9" x14ac:dyDescent="0.3">
      <c r="A322" s="198" t="s">
        <v>1251</v>
      </c>
      <c r="B322" s="199" t="s">
        <v>12</v>
      </c>
      <c r="C322" s="205">
        <v>0.16666666666666666</v>
      </c>
      <c r="D322" s="205">
        <v>0.1875</v>
      </c>
      <c r="E322" s="201">
        <f t="shared" si="15"/>
        <v>2.0833333333333343E-2</v>
      </c>
      <c r="F322" s="202" t="s">
        <v>1054</v>
      </c>
      <c r="G322" s="230" t="s">
        <v>1267</v>
      </c>
      <c r="H322" s="244"/>
      <c r="I322" s="199"/>
    </row>
    <row r="323" spans="1:9" x14ac:dyDescent="0.3">
      <c r="A323" s="198" t="s">
        <v>1251</v>
      </c>
      <c r="B323" s="199" t="s">
        <v>12</v>
      </c>
      <c r="C323" s="205">
        <v>0.1875</v>
      </c>
      <c r="D323" s="205">
        <v>0.19791666666666666</v>
      </c>
      <c r="E323" s="201">
        <f t="shared" si="15"/>
        <v>1.0416666666666657E-2</v>
      </c>
      <c r="F323" s="202" t="s">
        <v>1054</v>
      </c>
      <c r="G323" s="225" t="s">
        <v>1268</v>
      </c>
      <c r="H323" s="246"/>
      <c r="I323" s="235"/>
    </row>
    <row r="324" spans="1:9" x14ac:dyDescent="0.3">
      <c r="A324" s="198" t="s">
        <v>1251</v>
      </c>
      <c r="B324" s="199" t="s">
        <v>12</v>
      </c>
      <c r="C324" s="205">
        <v>0.19791666666666666</v>
      </c>
      <c r="D324" s="205">
        <v>0.21875</v>
      </c>
      <c r="E324" s="201">
        <f t="shared" si="15"/>
        <v>2.0833333333333343E-2</v>
      </c>
      <c r="F324" s="202" t="s">
        <v>1054</v>
      </c>
      <c r="G324" s="230" t="s">
        <v>1269</v>
      </c>
      <c r="H324" s="196"/>
      <c r="I324" s="241"/>
    </row>
    <row r="325" spans="1:9" x14ac:dyDescent="0.3">
      <c r="A325" s="198" t="s">
        <v>1251</v>
      </c>
      <c r="B325" s="199" t="s">
        <v>12</v>
      </c>
      <c r="C325" s="205">
        <v>0.21875</v>
      </c>
      <c r="D325" s="205">
        <v>0.2361111111111111</v>
      </c>
      <c r="E325" s="201">
        <f t="shared" si="15"/>
        <v>1.7361111111111105E-2</v>
      </c>
      <c r="F325" s="202" t="s">
        <v>1054</v>
      </c>
      <c r="G325" s="249" t="s">
        <v>1270</v>
      </c>
      <c r="H325" s="196"/>
      <c r="I325" s="248"/>
    </row>
    <row r="326" spans="1:9" x14ac:dyDescent="0.3">
      <c r="A326" s="198" t="s">
        <v>1251</v>
      </c>
      <c r="B326" s="199" t="s">
        <v>12</v>
      </c>
      <c r="C326" s="205">
        <v>0.2361111111111111</v>
      </c>
      <c r="D326" s="205">
        <v>0.24652777777777779</v>
      </c>
      <c r="E326" s="201">
        <f t="shared" si="15"/>
        <v>1.0416666666666685E-2</v>
      </c>
      <c r="F326" s="202" t="s">
        <v>1054</v>
      </c>
      <c r="G326" s="230" t="s">
        <v>1271</v>
      </c>
      <c r="H326" s="196"/>
      <c r="I326" s="248"/>
    </row>
    <row r="327" spans="1:9" x14ac:dyDescent="0.3">
      <c r="A327" s="198" t="s">
        <v>1251</v>
      </c>
      <c r="B327" s="199" t="s">
        <v>12</v>
      </c>
      <c r="C327" s="205">
        <v>0.24652777777777779</v>
      </c>
      <c r="D327" s="205">
        <v>0.25694444444444442</v>
      </c>
      <c r="E327" s="201">
        <f t="shared" si="15"/>
        <v>1.041666666666663E-2</v>
      </c>
      <c r="F327" s="202" t="s">
        <v>1054</v>
      </c>
      <c r="G327" s="230" t="s">
        <v>1272</v>
      </c>
      <c r="H327" s="196"/>
      <c r="I327" s="225"/>
    </row>
    <row r="328" spans="1:9" x14ac:dyDescent="0.3">
      <c r="A328" s="198" t="s">
        <v>1251</v>
      </c>
      <c r="B328" s="199" t="s">
        <v>12</v>
      </c>
      <c r="C328" s="205">
        <v>0.25694444444444442</v>
      </c>
      <c r="D328" s="205">
        <v>0.26041666666666669</v>
      </c>
      <c r="E328" s="201">
        <f t="shared" si="15"/>
        <v>3.4722222222222654E-3</v>
      </c>
      <c r="F328" s="202" t="s">
        <v>1054</v>
      </c>
      <c r="G328" s="250" t="s">
        <v>1273</v>
      </c>
      <c r="H328" s="246"/>
      <c r="I328" s="225"/>
    </row>
    <row r="329" spans="1:9" x14ac:dyDescent="0.3">
      <c r="A329" s="198" t="s">
        <v>1251</v>
      </c>
      <c r="B329" s="199" t="s">
        <v>12</v>
      </c>
      <c r="C329" s="205">
        <v>0.26041666666666669</v>
      </c>
      <c r="D329" s="205">
        <v>0.27083333333333331</v>
      </c>
      <c r="E329" s="201">
        <f t="shared" si="15"/>
        <v>1.041666666666663E-2</v>
      </c>
      <c r="F329" s="202" t="s">
        <v>1054</v>
      </c>
      <c r="G329" s="143" t="s">
        <v>1274</v>
      </c>
      <c r="H329" s="248"/>
      <c r="I329" s="225"/>
    </row>
    <row r="330" spans="1:9" x14ac:dyDescent="0.3">
      <c r="A330" s="198" t="s">
        <v>1251</v>
      </c>
      <c r="B330" s="199" t="s">
        <v>12</v>
      </c>
      <c r="C330" s="205">
        <v>0.27083333333333331</v>
      </c>
      <c r="D330" s="205">
        <v>0.2986111111111111</v>
      </c>
      <c r="E330" s="201">
        <f t="shared" si="15"/>
        <v>2.777777777777779E-2</v>
      </c>
      <c r="F330" s="202" t="s">
        <v>1054</v>
      </c>
      <c r="G330" s="125" t="s">
        <v>1275</v>
      </c>
      <c r="H330" s="246"/>
      <c r="I330" s="225"/>
    </row>
    <row r="332" spans="1:9" x14ac:dyDescent="0.3">
      <c r="A332" s="13"/>
      <c r="B332" s="13"/>
      <c r="C332" s="13"/>
      <c r="D332" s="13"/>
      <c r="E332" s="13"/>
      <c r="F332" s="13"/>
      <c r="G332" s="13"/>
      <c r="H332" s="13"/>
      <c r="I332" s="13"/>
    </row>
    <row r="333" spans="1:9" ht="15" customHeight="1" x14ac:dyDescent="0.3">
      <c r="A333" s="190" t="s">
        <v>1</v>
      </c>
      <c r="B333" s="208" t="s">
        <v>2</v>
      </c>
      <c r="C333" s="209" t="s">
        <v>3</v>
      </c>
      <c r="D333" s="210"/>
      <c r="E333" s="211" t="s">
        <v>4</v>
      </c>
      <c r="F333" s="190" t="s">
        <v>5</v>
      </c>
      <c r="G333" s="190" t="s">
        <v>6</v>
      </c>
      <c r="H333" s="190" t="s">
        <v>7</v>
      </c>
      <c r="I333" s="190" t="s">
        <v>8</v>
      </c>
    </row>
    <row r="334" spans="1:9" x14ac:dyDescent="0.3">
      <c r="A334" s="212"/>
      <c r="B334" s="213"/>
      <c r="C334" s="196" t="s">
        <v>9</v>
      </c>
      <c r="D334" s="196" t="s">
        <v>10</v>
      </c>
      <c r="E334" s="214"/>
      <c r="F334" s="215"/>
      <c r="G334" s="215"/>
      <c r="H334" s="215"/>
      <c r="I334" s="215"/>
    </row>
    <row r="335" spans="1:9" x14ac:dyDescent="0.3">
      <c r="A335" s="198" t="s">
        <v>1276</v>
      </c>
      <c r="B335" s="199" t="s">
        <v>59</v>
      </c>
      <c r="C335" s="200">
        <v>0.91666666666666663</v>
      </c>
      <c r="D335" s="200">
        <v>0.93055555555555558</v>
      </c>
      <c r="E335" s="201">
        <f>D335-C335</f>
        <v>1.3888888888888951E-2</v>
      </c>
      <c r="F335" s="202" t="s">
        <v>1054</v>
      </c>
      <c r="G335" s="203" t="s">
        <v>1252</v>
      </c>
      <c r="H335" s="196" t="s">
        <v>1056</v>
      </c>
      <c r="I335" s="216"/>
    </row>
    <row r="336" spans="1:9" x14ac:dyDescent="0.3">
      <c r="A336" s="198" t="s">
        <v>1276</v>
      </c>
      <c r="B336" s="199" t="s">
        <v>59</v>
      </c>
      <c r="C336" s="200">
        <v>0.93055555555555558</v>
      </c>
      <c r="D336" s="205">
        <v>0.9375</v>
      </c>
      <c r="E336" s="201">
        <f>D336-C336</f>
        <v>6.9444444444444198E-3</v>
      </c>
      <c r="F336" s="202" t="s">
        <v>1054</v>
      </c>
      <c r="G336" s="125" t="s">
        <v>1277</v>
      </c>
      <c r="H336" s="196" t="s">
        <v>44</v>
      </c>
      <c r="I336" s="204"/>
    </row>
    <row r="337" spans="1:9" x14ac:dyDescent="0.3">
      <c r="A337" s="198" t="s">
        <v>1276</v>
      </c>
      <c r="B337" s="199" t="s">
        <v>59</v>
      </c>
      <c r="C337" s="205">
        <v>0.9375</v>
      </c>
      <c r="D337" s="205">
        <v>0.98958333333333337</v>
      </c>
      <c r="E337" s="201">
        <f>D337-C337</f>
        <v>5.208333333333337E-2</v>
      </c>
      <c r="F337" s="202" t="s">
        <v>1054</v>
      </c>
      <c r="G337" s="128" t="s">
        <v>1278</v>
      </c>
      <c r="H337" s="196" t="s">
        <v>673</v>
      </c>
      <c r="I337" s="204"/>
    </row>
    <row r="338" spans="1:9" x14ac:dyDescent="0.3">
      <c r="A338" s="198" t="s">
        <v>1276</v>
      </c>
      <c r="B338" s="199" t="s">
        <v>59</v>
      </c>
      <c r="C338" s="205">
        <v>0.98958333333333337</v>
      </c>
      <c r="D338" s="205">
        <v>0</v>
      </c>
      <c r="E338" s="201">
        <v>1.0416666666666666E-2</v>
      </c>
      <c r="F338" s="222" t="s">
        <v>1054</v>
      </c>
      <c r="G338" s="128" t="s">
        <v>1062</v>
      </c>
      <c r="H338" s="196" t="s">
        <v>44</v>
      </c>
      <c r="I338" s="204"/>
    </row>
    <row r="339" spans="1:9" x14ac:dyDescent="0.3">
      <c r="A339" s="198" t="s">
        <v>1276</v>
      </c>
      <c r="B339" s="199" t="s">
        <v>59</v>
      </c>
      <c r="C339" s="205">
        <v>1</v>
      </c>
      <c r="D339" s="205">
        <v>4.1666666666666664E-2</v>
      </c>
      <c r="E339" s="201">
        <v>4.1666666666666664E-2</v>
      </c>
      <c r="F339" s="202" t="s">
        <v>1054</v>
      </c>
      <c r="G339" s="143" t="s">
        <v>1279</v>
      </c>
      <c r="H339" s="216" t="s">
        <v>225</v>
      </c>
      <c r="I339" s="204"/>
    </row>
    <row r="340" spans="1:9" x14ac:dyDescent="0.3">
      <c r="A340" s="198" t="s">
        <v>1276</v>
      </c>
      <c r="B340" s="199" t="s">
        <v>59</v>
      </c>
      <c r="C340" s="205">
        <v>4.1666666666666664E-2</v>
      </c>
      <c r="D340" s="205">
        <v>5.2083333333333336E-2</v>
      </c>
      <c r="E340" s="201">
        <f t="shared" ref="E340:E357" si="16">D340-C340</f>
        <v>1.0416666666666671E-2</v>
      </c>
      <c r="F340" s="224" t="s">
        <v>1054</v>
      </c>
      <c r="G340" s="125" t="s">
        <v>1253</v>
      </c>
      <c r="H340" s="216" t="s">
        <v>225</v>
      </c>
      <c r="I340" s="204"/>
    </row>
    <row r="341" spans="1:9" x14ac:dyDescent="0.3">
      <c r="A341" s="198" t="s">
        <v>1276</v>
      </c>
      <c r="B341" s="199" t="s">
        <v>59</v>
      </c>
      <c r="C341" s="205">
        <v>5.2083333333333336E-2</v>
      </c>
      <c r="D341" s="205">
        <v>6.25E-2</v>
      </c>
      <c r="E341" s="201">
        <f t="shared" si="16"/>
        <v>1.0416666666666664E-2</v>
      </c>
      <c r="F341" s="227" t="s">
        <v>1054</v>
      </c>
      <c r="G341" s="128" t="s">
        <v>1254</v>
      </c>
      <c r="H341" s="196" t="s">
        <v>44</v>
      </c>
      <c r="I341" s="199"/>
    </row>
    <row r="342" spans="1:9" x14ac:dyDescent="0.3">
      <c r="A342" s="198" t="s">
        <v>1276</v>
      </c>
      <c r="B342" s="199" t="s">
        <v>59</v>
      </c>
      <c r="C342" s="205">
        <v>6.25E-2</v>
      </c>
      <c r="D342" s="205">
        <v>7.2916666666666671E-2</v>
      </c>
      <c r="E342" s="201">
        <f t="shared" si="16"/>
        <v>1.0416666666666671E-2</v>
      </c>
      <c r="F342" s="202" t="s">
        <v>1054</v>
      </c>
      <c r="G342" s="254" t="s">
        <v>1265</v>
      </c>
      <c r="H342" s="216" t="s">
        <v>44</v>
      </c>
      <c r="I342" s="199"/>
    </row>
    <row r="343" spans="1:9" x14ac:dyDescent="0.3">
      <c r="A343" s="198" t="s">
        <v>1276</v>
      </c>
      <c r="B343" s="199" t="s">
        <v>59</v>
      </c>
      <c r="C343" s="205">
        <v>7.2916666666666671E-2</v>
      </c>
      <c r="D343" s="205">
        <v>8.6805555555555552E-2</v>
      </c>
      <c r="E343" s="201">
        <f t="shared" si="16"/>
        <v>1.3888888888888881E-2</v>
      </c>
      <c r="F343" s="224" t="s">
        <v>1054</v>
      </c>
      <c r="G343" s="251" t="s">
        <v>1259</v>
      </c>
      <c r="H343" s="196" t="s">
        <v>44</v>
      </c>
      <c r="I343" s="199"/>
    </row>
    <row r="344" spans="1:9" x14ac:dyDescent="0.3">
      <c r="A344" s="198" t="s">
        <v>1276</v>
      </c>
      <c r="B344" s="199" t="s">
        <v>59</v>
      </c>
      <c r="C344" s="205">
        <v>8.6805555555555552E-2</v>
      </c>
      <c r="D344" s="205">
        <v>9.375E-2</v>
      </c>
      <c r="E344" s="201">
        <f t="shared" si="16"/>
        <v>6.9444444444444475E-3</v>
      </c>
      <c r="F344" s="222" t="s">
        <v>1054</v>
      </c>
      <c r="G344" s="249" t="s">
        <v>1280</v>
      </c>
      <c r="H344" s="196" t="s">
        <v>44</v>
      </c>
      <c r="I344" s="199"/>
    </row>
    <row r="345" spans="1:9" x14ac:dyDescent="0.3">
      <c r="A345" s="198" t="s">
        <v>1276</v>
      </c>
      <c r="B345" s="199" t="s">
        <v>59</v>
      </c>
      <c r="C345" s="205">
        <v>9.375E-2</v>
      </c>
      <c r="D345" s="205">
        <v>0.12152777777777778</v>
      </c>
      <c r="E345" s="201">
        <f t="shared" si="16"/>
        <v>2.7777777777777776E-2</v>
      </c>
      <c r="F345" s="202" t="s">
        <v>1054</v>
      </c>
      <c r="G345" s="230" t="s">
        <v>339</v>
      </c>
      <c r="H345" s="196" t="s">
        <v>44</v>
      </c>
      <c r="I345" s="199"/>
    </row>
    <row r="346" spans="1:9" x14ac:dyDescent="0.3">
      <c r="A346" s="198" t="s">
        <v>1276</v>
      </c>
      <c r="B346" s="199" t="s">
        <v>59</v>
      </c>
      <c r="C346" s="205">
        <v>0.12152777777777778</v>
      </c>
      <c r="D346" s="231">
        <v>0.13194444444444445</v>
      </c>
      <c r="E346" s="201">
        <f t="shared" si="16"/>
        <v>1.0416666666666671E-2</v>
      </c>
      <c r="F346" s="252" t="s">
        <v>1054</v>
      </c>
      <c r="G346" s="249" t="s">
        <v>1261</v>
      </c>
      <c r="H346" s="196" t="s">
        <v>44</v>
      </c>
      <c r="I346" s="199"/>
    </row>
    <row r="347" spans="1:9" x14ac:dyDescent="0.3">
      <c r="A347" s="198" t="s">
        <v>1276</v>
      </c>
      <c r="B347" s="199" t="s">
        <v>59</v>
      </c>
      <c r="C347" s="231">
        <v>0.13194444444444445</v>
      </c>
      <c r="D347" s="205">
        <v>0.15277777777777779</v>
      </c>
      <c r="E347" s="201">
        <f t="shared" si="16"/>
        <v>2.0833333333333343E-2</v>
      </c>
      <c r="F347" s="196" t="s">
        <v>1054</v>
      </c>
      <c r="G347" s="233" t="s">
        <v>1281</v>
      </c>
      <c r="H347" s="196" t="s">
        <v>673</v>
      </c>
      <c r="I347" s="199"/>
    </row>
    <row r="348" spans="1:9" x14ac:dyDescent="0.3">
      <c r="A348" s="198" t="s">
        <v>1276</v>
      </c>
      <c r="B348" s="199" t="s">
        <v>59</v>
      </c>
      <c r="C348" s="205">
        <v>0.15277777777777779</v>
      </c>
      <c r="D348" s="205">
        <v>0.16666666666666666</v>
      </c>
      <c r="E348" s="201">
        <f t="shared" si="16"/>
        <v>1.3888888888888867E-2</v>
      </c>
      <c r="F348" s="196" t="s">
        <v>1054</v>
      </c>
      <c r="G348" s="233" t="s">
        <v>1282</v>
      </c>
      <c r="H348" s="196" t="s">
        <v>673</v>
      </c>
      <c r="I348" s="199"/>
    </row>
    <row r="349" spans="1:9" x14ac:dyDescent="0.3">
      <c r="A349" s="198" t="s">
        <v>1276</v>
      </c>
      <c r="B349" s="199" t="s">
        <v>59</v>
      </c>
      <c r="C349" s="205">
        <v>0.16666666666666666</v>
      </c>
      <c r="D349" s="205">
        <v>0.17708333333333334</v>
      </c>
      <c r="E349" s="201">
        <f t="shared" si="16"/>
        <v>1.0416666666666685E-2</v>
      </c>
      <c r="F349" s="202" t="s">
        <v>1054</v>
      </c>
      <c r="G349" s="230" t="s">
        <v>1283</v>
      </c>
      <c r="H349" s="196" t="s">
        <v>44</v>
      </c>
      <c r="I349" s="199"/>
    </row>
    <row r="350" spans="1:9" x14ac:dyDescent="0.3">
      <c r="A350" s="198" t="s">
        <v>1276</v>
      </c>
      <c r="B350" s="199" t="s">
        <v>59</v>
      </c>
      <c r="C350" s="205">
        <v>0.17708333333333334</v>
      </c>
      <c r="D350" s="205">
        <v>0.18402777777777779</v>
      </c>
      <c r="E350" s="201">
        <f t="shared" si="16"/>
        <v>6.9444444444444475E-3</v>
      </c>
      <c r="F350" s="202" t="s">
        <v>1054</v>
      </c>
      <c r="G350" s="225" t="s">
        <v>1284</v>
      </c>
      <c r="H350" s="196" t="s">
        <v>44</v>
      </c>
      <c r="I350" s="235"/>
    </row>
    <row r="351" spans="1:9" x14ac:dyDescent="0.3">
      <c r="A351" s="198" t="s">
        <v>1276</v>
      </c>
      <c r="B351" s="199" t="s">
        <v>59</v>
      </c>
      <c r="C351" s="205">
        <v>0.18402777777777779</v>
      </c>
      <c r="D351" s="205">
        <v>0.20833333333333334</v>
      </c>
      <c r="E351" s="201">
        <f t="shared" si="16"/>
        <v>2.4305555555555552E-2</v>
      </c>
      <c r="F351" s="202" t="s">
        <v>1054</v>
      </c>
      <c r="G351" s="230" t="s">
        <v>1285</v>
      </c>
      <c r="H351" s="196" t="s">
        <v>1120</v>
      </c>
      <c r="I351" s="241"/>
    </row>
    <row r="352" spans="1:9" x14ac:dyDescent="0.3">
      <c r="A352" s="198" t="s">
        <v>1276</v>
      </c>
      <c r="B352" s="199" t="s">
        <v>59</v>
      </c>
      <c r="C352" s="205">
        <v>0.20833333333333334</v>
      </c>
      <c r="D352" s="205">
        <v>0.21875</v>
      </c>
      <c r="E352" s="201">
        <f t="shared" si="16"/>
        <v>1.0416666666666657E-2</v>
      </c>
      <c r="F352" s="202" t="s">
        <v>1054</v>
      </c>
      <c r="G352" s="225" t="s">
        <v>1268</v>
      </c>
      <c r="H352" s="196"/>
      <c r="I352" s="248"/>
    </row>
    <row r="353" spans="1:9" x14ac:dyDescent="0.3">
      <c r="A353" s="198" t="s">
        <v>1276</v>
      </c>
      <c r="B353" s="199" t="s">
        <v>59</v>
      </c>
      <c r="C353" s="205">
        <v>0.21875</v>
      </c>
      <c r="D353" s="205">
        <v>0.22916666666666666</v>
      </c>
      <c r="E353" s="201">
        <f t="shared" si="16"/>
        <v>1.0416666666666657E-2</v>
      </c>
      <c r="F353" s="202" t="s">
        <v>1054</v>
      </c>
      <c r="G353" s="230" t="s">
        <v>1286</v>
      </c>
      <c r="H353" s="196" t="s">
        <v>44</v>
      </c>
      <c r="I353" s="248"/>
    </row>
    <row r="354" spans="1:9" x14ac:dyDescent="0.3">
      <c r="A354" s="198" t="s">
        <v>1276</v>
      </c>
      <c r="B354" s="199" t="s">
        <v>59</v>
      </c>
      <c r="C354" s="205">
        <v>0.22916666666666666</v>
      </c>
      <c r="D354" s="205">
        <v>0.23958333333333334</v>
      </c>
      <c r="E354" s="201">
        <f t="shared" si="16"/>
        <v>1.0416666666666685E-2</v>
      </c>
      <c r="F354" s="196" t="s">
        <v>1054</v>
      </c>
      <c r="G354" s="230" t="s">
        <v>1272</v>
      </c>
      <c r="H354" s="196" t="s">
        <v>44</v>
      </c>
      <c r="I354" s="225"/>
    </row>
    <row r="355" spans="1:9" x14ac:dyDescent="0.3">
      <c r="A355" s="198" t="s">
        <v>1276</v>
      </c>
      <c r="B355" s="199" t="s">
        <v>59</v>
      </c>
      <c r="C355" s="205">
        <v>0.23958333333333334</v>
      </c>
      <c r="D355" s="205">
        <v>0.25</v>
      </c>
      <c r="E355" s="201">
        <f t="shared" si="16"/>
        <v>1.0416666666666657E-2</v>
      </c>
      <c r="F355" s="202" t="s">
        <v>1054</v>
      </c>
      <c r="G355" s="250" t="s">
        <v>1287</v>
      </c>
      <c r="H355" s="196" t="s">
        <v>44</v>
      </c>
      <c r="I355" s="225"/>
    </row>
    <row r="356" spans="1:9" x14ac:dyDescent="0.3">
      <c r="A356" s="198" t="s">
        <v>1276</v>
      </c>
      <c r="B356" s="199" t="s">
        <v>59</v>
      </c>
      <c r="C356" s="205">
        <v>0.25</v>
      </c>
      <c r="D356" s="205">
        <v>0.26041666666666669</v>
      </c>
      <c r="E356" s="201">
        <f t="shared" si="16"/>
        <v>1.0416666666666685E-2</v>
      </c>
      <c r="F356" s="202" t="s">
        <v>1054</v>
      </c>
      <c r="G356" s="143" t="s">
        <v>1274</v>
      </c>
      <c r="H356" s="196" t="s">
        <v>44</v>
      </c>
      <c r="I356" s="225"/>
    </row>
    <row r="357" spans="1:9" x14ac:dyDescent="0.3">
      <c r="A357" s="198" t="s">
        <v>1276</v>
      </c>
      <c r="B357" s="199" t="s">
        <v>59</v>
      </c>
      <c r="C357" s="205">
        <v>0.26041666666666669</v>
      </c>
      <c r="D357" s="205">
        <v>0.2986111111111111</v>
      </c>
      <c r="E357" s="201">
        <f t="shared" si="16"/>
        <v>3.819444444444442E-2</v>
      </c>
      <c r="F357" s="202" t="s">
        <v>1054</v>
      </c>
      <c r="G357" s="125" t="s">
        <v>1275</v>
      </c>
      <c r="H357" s="196" t="s">
        <v>1120</v>
      </c>
      <c r="I357" s="225"/>
    </row>
    <row r="358" spans="1:9" x14ac:dyDescent="0.3">
      <c r="A358" s="13"/>
      <c r="B358" s="13"/>
      <c r="C358" s="13"/>
      <c r="D358" s="13"/>
      <c r="E358" s="13"/>
      <c r="F358" s="13"/>
      <c r="G358" s="13"/>
      <c r="H358" s="13"/>
      <c r="I358" s="13"/>
    </row>
    <row r="359" spans="1:9" ht="15" customHeight="1" x14ac:dyDescent="0.3">
      <c r="A359" s="190" t="s">
        <v>1</v>
      </c>
      <c r="B359" s="208" t="s">
        <v>2</v>
      </c>
      <c r="C359" s="209" t="s">
        <v>3</v>
      </c>
      <c r="D359" s="210"/>
      <c r="E359" s="211" t="s">
        <v>4</v>
      </c>
      <c r="F359" s="190" t="s">
        <v>5</v>
      </c>
      <c r="G359" s="190" t="s">
        <v>6</v>
      </c>
      <c r="H359" s="190" t="s">
        <v>7</v>
      </c>
      <c r="I359" s="190" t="s">
        <v>8</v>
      </c>
    </row>
    <row r="360" spans="1:9" x14ac:dyDescent="0.3">
      <c r="A360" s="212"/>
      <c r="B360" s="213"/>
      <c r="C360" s="196" t="s">
        <v>9</v>
      </c>
      <c r="D360" s="196" t="s">
        <v>10</v>
      </c>
      <c r="E360" s="214"/>
      <c r="F360" s="215"/>
      <c r="G360" s="215"/>
      <c r="H360" s="215"/>
      <c r="I360" s="215"/>
    </row>
    <row r="361" spans="1:9" x14ac:dyDescent="0.3">
      <c r="A361" s="198" t="s">
        <v>1288</v>
      </c>
      <c r="B361" s="199" t="s">
        <v>88</v>
      </c>
      <c r="C361" s="200">
        <v>0.91666666666666663</v>
      </c>
      <c r="D361" s="200">
        <v>0.92708333333333337</v>
      </c>
      <c r="E361" s="201">
        <f>D361-C361</f>
        <v>1.0416666666666741E-2</v>
      </c>
      <c r="F361" s="202" t="s">
        <v>1054</v>
      </c>
      <c r="G361" s="203" t="s">
        <v>1252</v>
      </c>
      <c r="H361" s="196" t="s">
        <v>1056</v>
      </c>
      <c r="I361" s="216"/>
    </row>
    <row r="362" spans="1:9" x14ac:dyDescent="0.3">
      <c r="A362" s="198" t="s">
        <v>1288</v>
      </c>
      <c r="B362" s="199" t="s">
        <v>88</v>
      </c>
      <c r="C362" s="200">
        <v>0.92708333333333337</v>
      </c>
      <c r="D362" s="205">
        <v>0.93055555555555558</v>
      </c>
      <c r="E362" s="201">
        <f>D362-C362</f>
        <v>3.4722222222222099E-3</v>
      </c>
      <c r="F362" s="202" t="s">
        <v>1054</v>
      </c>
      <c r="G362" s="125" t="s">
        <v>1289</v>
      </c>
      <c r="H362" s="196" t="s">
        <v>44</v>
      </c>
      <c r="I362" s="204"/>
    </row>
    <row r="363" spans="1:9" x14ac:dyDescent="0.3">
      <c r="A363" s="198" t="s">
        <v>1288</v>
      </c>
      <c r="B363" s="199" t="s">
        <v>88</v>
      </c>
      <c r="C363" s="205">
        <v>0.93055555555555558</v>
      </c>
      <c r="D363" s="205">
        <v>0.9375</v>
      </c>
      <c r="E363" s="201">
        <f>D363-C363</f>
        <v>6.9444444444444198E-3</v>
      </c>
      <c r="F363" s="202" t="s">
        <v>1054</v>
      </c>
      <c r="G363" s="128" t="s">
        <v>1290</v>
      </c>
      <c r="H363" s="196" t="s">
        <v>673</v>
      </c>
      <c r="I363" s="204"/>
    </row>
    <row r="364" spans="1:9" x14ac:dyDescent="0.3">
      <c r="A364" s="198" t="s">
        <v>1288</v>
      </c>
      <c r="B364" s="199" t="s">
        <v>88</v>
      </c>
      <c r="C364" s="205">
        <v>0.9375</v>
      </c>
      <c r="D364" s="205">
        <v>0.94791666666666663</v>
      </c>
      <c r="E364" s="201">
        <v>1.0416666666666666E-2</v>
      </c>
      <c r="F364" s="222" t="s">
        <v>1054</v>
      </c>
      <c r="G364" s="128" t="s">
        <v>1291</v>
      </c>
      <c r="H364" s="196" t="s">
        <v>673</v>
      </c>
      <c r="I364" s="204"/>
    </row>
    <row r="365" spans="1:9" x14ac:dyDescent="0.3">
      <c r="A365" s="198" t="s">
        <v>1288</v>
      </c>
      <c r="B365" s="199" t="s">
        <v>88</v>
      </c>
      <c r="C365" s="205">
        <v>0.94791666666666663</v>
      </c>
      <c r="D365" s="205">
        <v>0.99305555555555558</v>
      </c>
      <c r="E365" s="201">
        <v>5.2083333333333301E-2</v>
      </c>
      <c r="F365" s="202" t="s">
        <v>1054</v>
      </c>
      <c r="G365" s="143" t="s">
        <v>1292</v>
      </c>
      <c r="H365" s="196" t="s">
        <v>673</v>
      </c>
      <c r="I365" s="204"/>
    </row>
    <row r="366" spans="1:9" x14ac:dyDescent="0.3">
      <c r="A366" s="198" t="s">
        <v>1288</v>
      </c>
      <c r="B366" s="199" t="s">
        <v>88</v>
      </c>
      <c r="C366" s="205">
        <v>0.99305555555555558</v>
      </c>
      <c r="D366" s="205">
        <v>0</v>
      </c>
      <c r="E366" s="201">
        <v>1.0416666666666666E-2</v>
      </c>
      <c r="F366" s="224" t="s">
        <v>1054</v>
      </c>
      <c r="G366" s="125" t="s">
        <v>1293</v>
      </c>
      <c r="H366" s="196" t="s">
        <v>673</v>
      </c>
      <c r="I366" s="204"/>
    </row>
    <row r="367" spans="1:9" x14ac:dyDescent="0.3">
      <c r="A367" s="198" t="s">
        <v>1288</v>
      </c>
      <c r="B367" s="199" t="s">
        <v>88</v>
      </c>
      <c r="C367" s="205">
        <v>0</v>
      </c>
      <c r="D367" s="205">
        <v>1.3888888888888888E-2</v>
      </c>
      <c r="E367" s="201">
        <f t="shared" ref="E367:E389" si="17">D367-C367</f>
        <v>1.3888888888888888E-2</v>
      </c>
      <c r="F367" s="227" t="s">
        <v>1054</v>
      </c>
      <c r="G367" s="128" t="s">
        <v>1294</v>
      </c>
      <c r="H367" s="196" t="s">
        <v>673</v>
      </c>
      <c r="I367" s="199"/>
    </row>
    <row r="368" spans="1:9" x14ac:dyDescent="0.3">
      <c r="A368" s="198" t="s">
        <v>1288</v>
      </c>
      <c r="B368" s="199" t="s">
        <v>88</v>
      </c>
      <c r="C368" s="205">
        <v>1.3888888888888888E-2</v>
      </c>
      <c r="D368" s="205">
        <v>4.5138888888888888E-2</v>
      </c>
      <c r="E368" s="201">
        <f t="shared" si="17"/>
        <v>3.125E-2</v>
      </c>
      <c r="F368" s="202" t="s">
        <v>1054</v>
      </c>
      <c r="G368" s="143" t="s">
        <v>1279</v>
      </c>
      <c r="H368" s="216" t="s">
        <v>1258</v>
      </c>
      <c r="I368" s="199"/>
    </row>
    <row r="369" spans="1:9" x14ac:dyDescent="0.3">
      <c r="A369" s="198" t="s">
        <v>1288</v>
      </c>
      <c r="B369" s="199" t="s">
        <v>88</v>
      </c>
      <c r="C369" s="205">
        <v>4.5138888888888888E-2</v>
      </c>
      <c r="D369" s="205">
        <v>5.2083333333333336E-2</v>
      </c>
      <c r="E369" s="201">
        <f t="shared" si="17"/>
        <v>6.9444444444444475E-3</v>
      </c>
      <c r="F369" s="202" t="s">
        <v>1054</v>
      </c>
      <c r="G369" s="143" t="s">
        <v>1295</v>
      </c>
      <c r="H369" s="196" t="s">
        <v>44</v>
      </c>
      <c r="I369" s="199"/>
    </row>
    <row r="370" spans="1:9" x14ac:dyDescent="0.3">
      <c r="A370" s="198" t="s">
        <v>1288</v>
      </c>
      <c r="B370" s="199" t="s">
        <v>88</v>
      </c>
      <c r="C370" s="205">
        <v>5.2083333333333336E-2</v>
      </c>
      <c r="D370" s="205">
        <v>6.25E-2</v>
      </c>
      <c r="E370" s="201">
        <f t="shared" si="17"/>
        <v>1.0416666666666664E-2</v>
      </c>
      <c r="F370" s="224" t="s">
        <v>1054</v>
      </c>
      <c r="G370" s="251" t="s">
        <v>1259</v>
      </c>
      <c r="H370" s="196" t="s">
        <v>44</v>
      </c>
      <c r="I370" s="199"/>
    </row>
    <row r="371" spans="1:9" x14ac:dyDescent="0.3">
      <c r="A371" s="198" t="s">
        <v>1288</v>
      </c>
      <c r="B371" s="199" t="s">
        <v>88</v>
      </c>
      <c r="C371" s="205">
        <v>6.25E-2</v>
      </c>
      <c r="D371" s="205">
        <v>6.9444444444444448E-2</v>
      </c>
      <c r="E371" s="201">
        <f t="shared" si="17"/>
        <v>6.9444444444444475E-3</v>
      </c>
      <c r="F371" s="222" t="s">
        <v>1054</v>
      </c>
      <c r="G371" s="251" t="s">
        <v>1296</v>
      </c>
      <c r="H371" s="196" t="s">
        <v>44</v>
      </c>
      <c r="I371" s="199"/>
    </row>
    <row r="372" spans="1:9" x14ac:dyDescent="0.3">
      <c r="A372" s="198" t="s">
        <v>1288</v>
      </c>
      <c r="B372" s="199" t="s">
        <v>88</v>
      </c>
      <c r="C372" s="205">
        <v>6.9444444444444448E-2</v>
      </c>
      <c r="D372" s="205">
        <v>7.6388888888888895E-2</v>
      </c>
      <c r="E372" s="201">
        <f t="shared" si="17"/>
        <v>6.9444444444444475E-3</v>
      </c>
      <c r="F372" s="202" t="s">
        <v>1054</v>
      </c>
      <c r="G372" s="249" t="s">
        <v>1261</v>
      </c>
      <c r="H372" s="196" t="s">
        <v>44</v>
      </c>
      <c r="I372" s="199"/>
    </row>
    <row r="373" spans="1:9" x14ac:dyDescent="0.3">
      <c r="A373" s="198" t="s">
        <v>1288</v>
      </c>
      <c r="B373" s="199" t="s">
        <v>88</v>
      </c>
      <c r="C373" s="205">
        <v>7.6388888888888895E-2</v>
      </c>
      <c r="D373" s="231">
        <v>8.6805555555555552E-2</v>
      </c>
      <c r="E373" s="201">
        <f t="shared" si="17"/>
        <v>1.0416666666666657E-2</v>
      </c>
      <c r="F373" s="252" t="s">
        <v>1054</v>
      </c>
      <c r="G373" s="249" t="s">
        <v>1297</v>
      </c>
      <c r="H373" s="196" t="s">
        <v>673</v>
      </c>
      <c r="I373" s="199"/>
    </row>
    <row r="374" spans="1:9" x14ac:dyDescent="0.3">
      <c r="A374" s="198" t="s">
        <v>1288</v>
      </c>
      <c r="B374" s="199" t="s">
        <v>88</v>
      </c>
      <c r="C374" s="231">
        <v>8.6805555555555552E-2</v>
      </c>
      <c r="D374" s="205">
        <v>9.375E-2</v>
      </c>
      <c r="E374" s="201">
        <f t="shared" si="17"/>
        <v>6.9444444444444475E-3</v>
      </c>
      <c r="F374" s="240" t="s">
        <v>1054</v>
      </c>
      <c r="G374" s="125" t="s">
        <v>1298</v>
      </c>
      <c r="H374" s="196" t="s">
        <v>673</v>
      </c>
      <c r="I374" s="199"/>
    </row>
    <row r="375" spans="1:9" x14ac:dyDescent="0.3">
      <c r="A375" s="198" t="s">
        <v>1288</v>
      </c>
      <c r="B375" s="199" t="s">
        <v>88</v>
      </c>
      <c r="C375" s="205">
        <v>9.375E-2</v>
      </c>
      <c r="D375" s="205">
        <v>0.1388888888888889</v>
      </c>
      <c r="E375" s="201">
        <f t="shared" si="17"/>
        <v>4.5138888888888895E-2</v>
      </c>
      <c r="F375" s="196" t="s">
        <v>1054</v>
      </c>
      <c r="G375" s="233" t="s">
        <v>1299</v>
      </c>
      <c r="H375" s="196" t="s">
        <v>673</v>
      </c>
      <c r="I375" s="199"/>
    </row>
    <row r="376" spans="1:9" x14ac:dyDescent="0.3">
      <c r="A376" s="198" t="s">
        <v>1288</v>
      </c>
      <c r="B376" s="199" t="s">
        <v>88</v>
      </c>
      <c r="C376" s="205">
        <v>0.1388888888888889</v>
      </c>
      <c r="D376" s="205">
        <v>0.14583333333333334</v>
      </c>
      <c r="E376" s="201">
        <f t="shared" si="17"/>
        <v>6.9444444444444475E-3</v>
      </c>
      <c r="F376" s="224" t="s">
        <v>1054</v>
      </c>
      <c r="G376" s="125" t="s">
        <v>1298</v>
      </c>
      <c r="H376" s="196" t="s">
        <v>673</v>
      </c>
      <c r="I376" s="199"/>
    </row>
    <row r="377" spans="1:9" x14ac:dyDescent="0.3">
      <c r="A377" s="198" t="s">
        <v>1288</v>
      </c>
      <c r="B377" s="199" t="s">
        <v>88</v>
      </c>
      <c r="C377" s="205">
        <v>0.14583333333333334</v>
      </c>
      <c r="D377" s="205">
        <v>0.15625</v>
      </c>
      <c r="E377" s="201">
        <f t="shared" si="17"/>
        <v>1.0416666666666657E-2</v>
      </c>
      <c r="F377" s="202" t="s">
        <v>1054</v>
      </c>
      <c r="G377" s="128" t="s">
        <v>1300</v>
      </c>
      <c r="H377" s="196" t="s">
        <v>673</v>
      </c>
      <c r="I377" s="235"/>
    </row>
    <row r="378" spans="1:9" x14ac:dyDescent="0.3">
      <c r="A378" s="198" t="s">
        <v>1288</v>
      </c>
      <c r="B378" s="199" t="s">
        <v>88</v>
      </c>
      <c r="C378" s="205">
        <v>0.15625</v>
      </c>
      <c r="D378" s="205">
        <v>0.1875</v>
      </c>
      <c r="E378" s="201">
        <f t="shared" si="17"/>
        <v>3.125E-2</v>
      </c>
      <c r="F378" s="202" t="s">
        <v>1054</v>
      </c>
      <c r="G378" s="128" t="s">
        <v>1301</v>
      </c>
      <c r="H378" s="196" t="s">
        <v>673</v>
      </c>
      <c r="I378" s="241"/>
    </row>
    <row r="379" spans="1:9" x14ac:dyDescent="0.3">
      <c r="A379" s="198" t="s">
        <v>1288</v>
      </c>
      <c r="B379" s="199" t="s">
        <v>88</v>
      </c>
      <c r="C379" s="205">
        <v>0.1875</v>
      </c>
      <c r="D379" s="205">
        <v>0.19444444444444445</v>
      </c>
      <c r="E379" s="201">
        <f t="shared" si="17"/>
        <v>6.9444444444444475E-3</v>
      </c>
      <c r="F379" s="202" t="s">
        <v>1054</v>
      </c>
      <c r="G379" s="225" t="s">
        <v>1302</v>
      </c>
      <c r="H379" s="196" t="s">
        <v>673</v>
      </c>
      <c r="I379" s="248"/>
    </row>
    <row r="380" spans="1:9" x14ac:dyDescent="0.3">
      <c r="A380" s="198" t="s">
        <v>1288</v>
      </c>
      <c r="B380" s="199" t="s">
        <v>88</v>
      </c>
      <c r="C380" s="205">
        <v>0.19444444444444445</v>
      </c>
      <c r="D380" s="205">
        <v>0.2013888888888889</v>
      </c>
      <c r="E380" s="201">
        <f t="shared" si="17"/>
        <v>6.9444444444444475E-3</v>
      </c>
      <c r="F380" s="222" t="s">
        <v>1054</v>
      </c>
      <c r="G380" s="230" t="s">
        <v>1303</v>
      </c>
      <c r="H380" s="196" t="s">
        <v>673</v>
      </c>
      <c r="I380" s="248"/>
    </row>
    <row r="381" spans="1:9" x14ac:dyDescent="0.3">
      <c r="A381" s="198" t="s">
        <v>1288</v>
      </c>
      <c r="B381" s="199" t="s">
        <v>88</v>
      </c>
      <c r="C381" s="205">
        <v>0.2013888888888889</v>
      </c>
      <c r="D381" s="205">
        <v>0.21180555555555555</v>
      </c>
      <c r="E381" s="201">
        <f t="shared" si="17"/>
        <v>1.0416666666666657E-2</v>
      </c>
      <c r="F381" s="196" t="s">
        <v>1054</v>
      </c>
      <c r="G381" s="225" t="s">
        <v>1268</v>
      </c>
      <c r="H381" s="196" t="s">
        <v>44</v>
      </c>
      <c r="I381" s="225"/>
    </row>
    <row r="382" spans="1:9" x14ac:dyDescent="0.3">
      <c r="A382" s="198" t="s">
        <v>1288</v>
      </c>
      <c r="B382" s="199" t="s">
        <v>88</v>
      </c>
      <c r="C382" s="205">
        <v>0.21180555555555555</v>
      </c>
      <c r="D382" s="205">
        <v>0.21875</v>
      </c>
      <c r="E382" s="201">
        <f t="shared" si="17"/>
        <v>6.9444444444444475E-3</v>
      </c>
      <c r="F382" s="224" t="s">
        <v>1054</v>
      </c>
      <c r="G382" s="125" t="s">
        <v>1253</v>
      </c>
      <c r="H382" s="196" t="s">
        <v>44</v>
      </c>
      <c r="I382" s="225"/>
    </row>
    <row r="383" spans="1:9" x14ac:dyDescent="0.3">
      <c r="A383" s="198" t="s">
        <v>1288</v>
      </c>
      <c r="B383" s="199" t="s">
        <v>88</v>
      </c>
      <c r="C383" s="205">
        <v>0.21875</v>
      </c>
      <c r="D383" s="205">
        <v>0.22569444444444445</v>
      </c>
      <c r="E383" s="201">
        <f t="shared" si="17"/>
        <v>6.9444444444444475E-3</v>
      </c>
      <c r="F383" s="202" t="s">
        <v>1054</v>
      </c>
      <c r="G383" s="128" t="s">
        <v>1254</v>
      </c>
      <c r="H383" s="196" t="s">
        <v>44</v>
      </c>
      <c r="I383" s="225"/>
    </row>
    <row r="384" spans="1:9" x14ac:dyDescent="0.3">
      <c r="A384" s="198" t="s">
        <v>1288</v>
      </c>
      <c r="B384" s="199" t="s">
        <v>88</v>
      </c>
      <c r="C384" s="205">
        <v>0.22569444444444445</v>
      </c>
      <c r="D384" s="205">
        <v>0.25</v>
      </c>
      <c r="E384" s="201">
        <f t="shared" si="17"/>
        <v>2.4305555555555552E-2</v>
      </c>
      <c r="F384" s="202" t="s">
        <v>1054</v>
      </c>
      <c r="G384" s="230" t="s">
        <v>1304</v>
      </c>
      <c r="H384" s="196" t="s">
        <v>44</v>
      </c>
      <c r="I384" s="225"/>
    </row>
    <row r="385" spans="1:9" x14ac:dyDescent="0.3">
      <c r="A385" s="198" t="s">
        <v>1288</v>
      </c>
      <c r="B385" s="199" t="s">
        <v>88</v>
      </c>
      <c r="C385" s="205">
        <v>0.25</v>
      </c>
      <c r="D385" s="255">
        <v>0.25347222222222221</v>
      </c>
      <c r="E385" s="201">
        <f t="shared" si="17"/>
        <v>3.4722222222222099E-3</v>
      </c>
      <c r="F385" s="202" t="s">
        <v>1054</v>
      </c>
      <c r="G385" s="249" t="s">
        <v>1280</v>
      </c>
      <c r="H385" s="196"/>
      <c r="I385" s="225"/>
    </row>
    <row r="386" spans="1:9" x14ac:dyDescent="0.3">
      <c r="A386" s="198" t="s">
        <v>1288</v>
      </c>
      <c r="B386" s="199" t="s">
        <v>88</v>
      </c>
      <c r="C386" s="255">
        <v>0.25347222222222221</v>
      </c>
      <c r="D386" s="205">
        <v>0.27083333333333331</v>
      </c>
      <c r="E386" s="201">
        <f t="shared" si="17"/>
        <v>1.7361111111111105E-2</v>
      </c>
      <c r="F386" s="202" t="s">
        <v>1054</v>
      </c>
      <c r="G386" s="143" t="s">
        <v>1305</v>
      </c>
      <c r="H386" s="196"/>
      <c r="I386" s="225"/>
    </row>
    <row r="387" spans="1:9" x14ac:dyDescent="0.3">
      <c r="A387" s="198" t="s">
        <v>1288</v>
      </c>
      <c r="B387" s="199" t="s">
        <v>88</v>
      </c>
      <c r="C387" s="205">
        <v>0.27083333333333331</v>
      </c>
      <c r="D387" s="205">
        <v>0.27777777777777779</v>
      </c>
      <c r="E387" s="201">
        <f t="shared" si="17"/>
        <v>6.9444444444444753E-3</v>
      </c>
      <c r="F387" s="202" t="s">
        <v>1054</v>
      </c>
      <c r="G387" s="230" t="s">
        <v>1272</v>
      </c>
      <c r="H387" s="196"/>
      <c r="I387" s="225"/>
    </row>
    <row r="388" spans="1:9" x14ac:dyDescent="0.3">
      <c r="A388" s="198" t="s">
        <v>1288</v>
      </c>
      <c r="B388" s="199" t="s">
        <v>88</v>
      </c>
      <c r="C388" s="205">
        <v>0.27777777777777779</v>
      </c>
      <c r="D388" s="205">
        <v>0.28472222222222221</v>
      </c>
      <c r="E388" s="201">
        <f t="shared" si="17"/>
        <v>6.9444444444444198E-3</v>
      </c>
      <c r="F388" s="202" t="s">
        <v>1054</v>
      </c>
      <c r="G388" s="143" t="s">
        <v>1274</v>
      </c>
      <c r="H388" s="196" t="s">
        <v>44</v>
      </c>
      <c r="I388" s="225"/>
    </row>
    <row r="389" spans="1:9" x14ac:dyDescent="0.3">
      <c r="A389" s="198" t="s">
        <v>1288</v>
      </c>
      <c r="B389" s="199" t="s">
        <v>88</v>
      </c>
      <c r="C389" s="205">
        <v>0.28472222222222221</v>
      </c>
      <c r="D389" s="205">
        <v>0.30208333333333331</v>
      </c>
      <c r="E389" s="201">
        <f t="shared" si="17"/>
        <v>1.7361111111111105E-2</v>
      </c>
      <c r="F389" s="202" t="s">
        <v>1054</v>
      </c>
      <c r="G389" s="125" t="s">
        <v>1275</v>
      </c>
      <c r="H389" s="196" t="s">
        <v>44</v>
      </c>
      <c r="I389" s="225"/>
    </row>
    <row r="390" spans="1:9" x14ac:dyDescent="0.3">
      <c r="A390" s="13"/>
      <c r="B390" s="13"/>
      <c r="C390" s="13"/>
      <c r="D390" s="13"/>
      <c r="E390" s="13"/>
      <c r="F390" s="13"/>
      <c r="G390" s="13"/>
      <c r="H390" s="13"/>
      <c r="I390" s="13"/>
    </row>
    <row r="391" spans="1:9" x14ac:dyDescent="0.3">
      <c r="A391" s="190" t="s">
        <v>1</v>
      </c>
      <c r="B391" s="208" t="s">
        <v>2</v>
      </c>
      <c r="C391" s="209" t="s">
        <v>3</v>
      </c>
      <c r="D391" s="210"/>
      <c r="E391" s="211" t="s">
        <v>4</v>
      </c>
      <c r="F391" s="190" t="s">
        <v>5</v>
      </c>
      <c r="G391" s="190" t="s">
        <v>6</v>
      </c>
      <c r="H391" s="190" t="s">
        <v>7</v>
      </c>
      <c r="I391" s="190" t="s">
        <v>8</v>
      </c>
    </row>
    <row r="392" spans="1:9" x14ac:dyDescent="0.3">
      <c r="A392" s="212"/>
      <c r="B392" s="213"/>
      <c r="C392" s="196" t="s">
        <v>9</v>
      </c>
      <c r="D392" s="196" t="s">
        <v>10</v>
      </c>
      <c r="E392" s="214"/>
      <c r="F392" s="215"/>
      <c r="G392" s="215"/>
      <c r="H392" s="215"/>
      <c r="I392" s="215"/>
    </row>
    <row r="393" spans="1:9" x14ac:dyDescent="0.3">
      <c r="A393" s="198" t="s">
        <v>1306</v>
      </c>
      <c r="B393" s="199" t="s">
        <v>91</v>
      </c>
      <c r="C393" s="200">
        <v>0.91666666666666663</v>
      </c>
      <c r="D393" s="200">
        <v>0.93055555555555558</v>
      </c>
      <c r="E393" s="201">
        <f>D393-C393</f>
        <v>1.3888888888888951E-2</v>
      </c>
      <c r="F393" s="202" t="s">
        <v>1054</v>
      </c>
      <c r="G393" s="125" t="s">
        <v>1289</v>
      </c>
      <c r="H393" s="196" t="s">
        <v>1056</v>
      </c>
      <c r="I393" s="216"/>
    </row>
    <row r="394" spans="1:9" x14ac:dyDescent="0.3">
      <c r="A394" s="198" t="s">
        <v>1306</v>
      </c>
      <c r="B394" s="199" t="s">
        <v>91</v>
      </c>
      <c r="C394" s="200">
        <v>0.93055555555555558</v>
      </c>
      <c r="D394" s="205">
        <v>0.9375</v>
      </c>
      <c r="E394" s="201">
        <f>D394-C394</f>
        <v>6.9444444444444198E-3</v>
      </c>
      <c r="F394" s="202" t="s">
        <v>1054</v>
      </c>
      <c r="G394" s="125" t="s">
        <v>1307</v>
      </c>
      <c r="H394" s="196" t="s">
        <v>44</v>
      </c>
      <c r="I394" s="204"/>
    </row>
    <row r="395" spans="1:9" x14ac:dyDescent="0.3">
      <c r="A395" s="198" t="s">
        <v>1306</v>
      </c>
      <c r="B395" s="199" t="s">
        <v>91</v>
      </c>
      <c r="C395" s="205">
        <v>0.9375</v>
      </c>
      <c r="D395" s="205">
        <v>0.94444444444444442</v>
      </c>
      <c r="E395" s="201">
        <f>D395-C395</f>
        <v>6.9444444444444198E-3</v>
      </c>
      <c r="F395" s="202" t="s">
        <v>1054</v>
      </c>
      <c r="G395" s="128" t="s">
        <v>1308</v>
      </c>
      <c r="H395" s="196" t="s">
        <v>673</v>
      </c>
      <c r="I395" s="204"/>
    </row>
    <row r="396" spans="1:9" x14ac:dyDescent="0.3">
      <c r="A396" s="198" t="s">
        <v>1306</v>
      </c>
      <c r="B396" s="199" t="s">
        <v>91</v>
      </c>
      <c r="C396" s="205">
        <v>0.94444444444444442</v>
      </c>
      <c r="D396" s="205">
        <v>0.95486111111111116</v>
      </c>
      <c r="E396" s="201">
        <v>1.0416666666666666E-2</v>
      </c>
      <c r="F396" s="222" t="s">
        <v>1054</v>
      </c>
      <c r="G396" s="125" t="s">
        <v>1253</v>
      </c>
      <c r="H396" s="196" t="s">
        <v>673</v>
      </c>
      <c r="I396" s="204"/>
    </row>
    <row r="397" spans="1:9" x14ac:dyDescent="0.3">
      <c r="A397" s="198" t="s">
        <v>1306</v>
      </c>
      <c r="B397" s="199" t="s">
        <v>91</v>
      </c>
      <c r="C397" s="205">
        <v>0.95486111111111116</v>
      </c>
      <c r="D397" s="205">
        <v>0.96527777777777779</v>
      </c>
      <c r="E397" s="201">
        <f>D397-C397</f>
        <v>1.041666666666663E-2</v>
      </c>
      <c r="F397" s="202" t="s">
        <v>1054</v>
      </c>
      <c r="G397" s="128" t="s">
        <v>1309</v>
      </c>
      <c r="H397" s="196" t="s">
        <v>673</v>
      </c>
      <c r="I397" s="204"/>
    </row>
    <row r="398" spans="1:9" x14ac:dyDescent="0.3">
      <c r="A398" s="198" t="s">
        <v>1306</v>
      </c>
      <c r="B398" s="199" t="s">
        <v>91</v>
      </c>
      <c r="C398" s="205">
        <v>0.96527777777777779</v>
      </c>
      <c r="D398" s="205">
        <v>0.97222222222222221</v>
      </c>
      <c r="E398" s="201">
        <f t="shared" ref="E398:E418" si="18">D398-C398</f>
        <v>6.9444444444444198E-3</v>
      </c>
      <c r="F398" s="224" t="s">
        <v>1054</v>
      </c>
      <c r="G398" s="125" t="s">
        <v>1310</v>
      </c>
      <c r="H398" s="196" t="s">
        <v>673</v>
      </c>
      <c r="I398" s="204"/>
    </row>
    <row r="399" spans="1:9" x14ac:dyDescent="0.3">
      <c r="A399" s="198" t="s">
        <v>1306</v>
      </c>
      <c r="B399" s="199" t="s">
        <v>91</v>
      </c>
      <c r="C399" s="205">
        <v>0.97222222222222221</v>
      </c>
      <c r="D399" s="205">
        <v>0</v>
      </c>
      <c r="E399" s="201">
        <v>2.7777777777777776E-2</v>
      </c>
      <c r="F399" s="227" t="s">
        <v>1054</v>
      </c>
      <c r="G399" s="128" t="s">
        <v>1311</v>
      </c>
      <c r="H399" s="196" t="s">
        <v>673</v>
      </c>
      <c r="I399" s="199"/>
    </row>
    <row r="400" spans="1:9" x14ac:dyDescent="0.3">
      <c r="A400" s="198" t="s">
        <v>1306</v>
      </c>
      <c r="B400" s="199" t="s">
        <v>91</v>
      </c>
      <c r="C400" s="205">
        <v>0</v>
      </c>
      <c r="D400" s="205">
        <v>3.4722222222222224E-2</v>
      </c>
      <c r="E400" s="201">
        <f t="shared" si="18"/>
        <v>3.4722222222222224E-2</v>
      </c>
      <c r="F400" s="202" t="s">
        <v>1054</v>
      </c>
      <c r="G400" s="143" t="s">
        <v>1279</v>
      </c>
      <c r="H400" s="216" t="s">
        <v>1258</v>
      </c>
      <c r="I400" s="199"/>
    </row>
    <row r="401" spans="1:9" x14ac:dyDescent="0.3">
      <c r="A401" s="198" t="s">
        <v>1306</v>
      </c>
      <c r="B401" s="199" t="s">
        <v>91</v>
      </c>
      <c r="C401" s="205">
        <v>3.4722222222222224E-2</v>
      </c>
      <c r="D401" s="205">
        <v>4.1666666666666664E-2</v>
      </c>
      <c r="E401" s="201">
        <f t="shared" si="18"/>
        <v>6.9444444444444406E-3</v>
      </c>
      <c r="F401" s="202" t="s">
        <v>1054</v>
      </c>
      <c r="G401" s="251" t="s">
        <v>1259</v>
      </c>
      <c r="H401" s="196" t="s">
        <v>44</v>
      </c>
      <c r="I401" s="199"/>
    </row>
    <row r="402" spans="1:9" x14ac:dyDescent="0.3">
      <c r="A402" s="198" t="s">
        <v>1306</v>
      </c>
      <c r="B402" s="199" t="s">
        <v>91</v>
      </c>
      <c r="C402" s="205">
        <v>4.1666666666666664E-2</v>
      </c>
      <c r="D402" s="205">
        <v>5.2083333333333336E-2</v>
      </c>
      <c r="E402" s="201">
        <f t="shared" si="18"/>
        <v>1.0416666666666671E-2</v>
      </c>
      <c r="F402" s="224" t="s">
        <v>1054</v>
      </c>
      <c r="G402" s="251" t="s">
        <v>1312</v>
      </c>
      <c r="H402" s="196" t="s">
        <v>44</v>
      </c>
      <c r="I402" s="199"/>
    </row>
    <row r="403" spans="1:9" x14ac:dyDescent="0.3">
      <c r="A403" s="198" t="s">
        <v>1306</v>
      </c>
      <c r="B403" s="199" t="s">
        <v>91</v>
      </c>
      <c r="C403" s="205">
        <v>5.2083333333333336E-2</v>
      </c>
      <c r="D403" s="205">
        <v>6.25E-2</v>
      </c>
      <c r="E403" s="201">
        <f t="shared" si="18"/>
        <v>1.0416666666666664E-2</v>
      </c>
      <c r="F403" s="222" t="s">
        <v>1054</v>
      </c>
      <c r="G403" s="251" t="s">
        <v>1313</v>
      </c>
      <c r="H403" s="196" t="s">
        <v>44</v>
      </c>
      <c r="I403" s="199"/>
    </row>
    <row r="404" spans="1:9" x14ac:dyDescent="0.3">
      <c r="A404" s="198" t="s">
        <v>1306</v>
      </c>
      <c r="B404" s="199" t="s">
        <v>91</v>
      </c>
      <c r="C404" s="205">
        <v>6.25E-2</v>
      </c>
      <c r="D404" s="205">
        <v>6.9444444444444448E-2</v>
      </c>
      <c r="E404" s="201">
        <f t="shared" si="18"/>
        <v>6.9444444444444475E-3</v>
      </c>
      <c r="F404" s="202" t="s">
        <v>1054</v>
      </c>
      <c r="G404" s="249" t="s">
        <v>1314</v>
      </c>
      <c r="H404" s="196" t="s">
        <v>44</v>
      </c>
      <c r="I404" s="199"/>
    </row>
    <row r="405" spans="1:9" x14ac:dyDescent="0.3">
      <c r="A405" s="198" t="s">
        <v>1306</v>
      </c>
      <c r="B405" s="199" t="s">
        <v>91</v>
      </c>
      <c r="C405" s="205">
        <v>6.9444444444444448E-2</v>
      </c>
      <c r="D405" s="231">
        <v>7.6388888888888895E-2</v>
      </c>
      <c r="E405" s="201">
        <f t="shared" si="18"/>
        <v>6.9444444444444475E-3</v>
      </c>
      <c r="F405" s="252" t="s">
        <v>1054</v>
      </c>
      <c r="G405" s="249" t="s">
        <v>1315</v>
      </c>
      <c r="H405" s="196" t="s">
        <v>673</v>
      </c>
      <c r="I405" s="199"/>
    </row>
    <row r="406" spans="1:9" x14ac:dyDescent="0.3">
      <c r="A406" s="198" t="s">
        <v>1306</v>
      </c>
      <c r="B406" s="199" t="s">
        <v>91</v>
      </c>
      <c r="C406" s="231">
        <v>7.6388888888888895E-2</v>
      </c>
      <c r="D406" s="205">
        <v>8.3333333333333329E-2</v>
      </c>
      <c r="E406" s="201">
        <f t="shared" si="18"/>
        <v>6.9444444444444337E-3</v>
      </c>
      <c r="F406" s="240" t="s">
        <v>1054</v>
      </c>
      <c r="G406" s="249" t="s">
        <v>1316</v>
      </c>
      <c r="H406" s="196" t="s">
        <v>673</v>
      </c>
      <c r="I406" s="199"/>
    </row>
    <row r="407" spans="1:9" x14ac:dyDescent="0.3">
      <c r="A407" s="198" t="s">
        <v>1306</v>
      </c>
      <c r="B407" s="199" t="s">
        <v>91</v>
      </c>
      <c r="C407" s="205">
        <v>8.3333333333333329E-2</v>
      </c>
      <c r="D407" s="205">
        <v>9.375E-2</v>
      </c>
      <c r="E407" s="201">
        <f t="shared" si="18"/>
        <v>1.0416666666666671E-2</v>
      </c>
      <c r="F407" s="196" t="s">
        <v>1054</v>
      </c>
      <c r="G407" s="249" t="s">
        <v>1317</v>
      </c>
      <c r="H407" s="196" t="s">
        <v>673</v>
      </c>
      <c r="I407" s="199"/>
    </row>
    <row r="408" spans="1:9" x14ac:dyDescent="0.3">
      <c r="A408" s="198" t="s">
        <v>1306</v>
      </c>
      <c r="B408" s="199" t="s">
        <v>91</v>
      </c>
      <c r="C408" s="205">
        <v>9.375E-2</v>
      </c>
      <c r="D408" s="205">
        <v>0.10069444444444445</v>
      </c>
      <c r="E408" s="201">
        <f t="shared" si="18"/>
        <v>6.9444444444444475E-3</v>
      </c>
      <c r="F408" s="224" t="s">
        <v>1054</v>
      </c>
      <c r="G408" s="249" t="s">
        <v>1318</v>
      </c>
      <c r="H408" s="196" t="s">
        <v>673</v>
      </c>
      <c r="I408" s="199"/>
    </row>
    <row r="409" spans="1:9" x14ac:dyDescent="0.3">
      <c r="A409" s="198" t="s">
        <v>1306</v>
      </c>
      <c r="B409" s="199" t="s">
        <v>91</v>
      </c>
      <c r="C409" s="205">
        <v>0.10069444444444445</v>
      </c>
      <c r="D409" s="205">
        <v>0.16666666666666666</v>
      </c>
      <c r="E409" s="201">
        <f t="shared" si="18"/>
        <v>6.597222222222221E-2</v>
      </c>
      <c r="F409" s="202" t="s">
        <v>1054</v>
      </c>
      <c r="G409" s="128" t="s">
        <v>1319</v>
      </c>
      <c r="H409" s="196" t="s">
        <v>673</v>
      </c>
      <c r="I409" s="235"/>
    </row>
    <row r="410" spans="1:9" x14ac:dyDescent="0.3">
      <c r="A410" s="198" t="s">
        <v>1306</v>
      </c>
      <c r="B410" s="199" t="s">
        <v>91</v>
      </c>
      <c r="C410" s="205">
        <v>0.16666666666666666</v>
      </c>
      <c r="D410" s="205">
        <v>0.1736111111111111</v>
      </c>
      <c r="E410" s="201">
        <f t="shared" si="18"/>
        <v>6.9444444444444475E-3</v>
      </c>
      <c r="F410" s="202" t="s">
        <v>1054</v>
      </c>
      <c r="G410" s="249" t="s">
        <v>1261</v>
      </c>
      <c r="H410" s="196" t="s">
        <v>673</v>
      </c>
      <c r="I410" s="241"/>
    </row>
    <row r="411" spans="1:9" x14ac:dyDescent="0.3">
      <c r="A411" s="198" t="s">
        <v>1306</v>
      </c>
      <c r="B411" s="199" t="s">
        <v>91</v>
      </c>
      <c r="C411" s="205">
        <v>0.1736111111111111</v>
      </c>
      <c r="D411" s="205">
        <v>0.17708333333333334</v>
      </c>
      <c r="E411" s="201">
        <f t="shared" si="18"/>
        <v>3.4722222222222376E-3</v>
      </c>
      <c r="F411" s="202" t="s">
        <v>1054</v>
      </c>
      <c r="G411" s="249" t="s">
        <v>1280</v>
      </c>
      <c r="H411" s="196" t="s">
        <v>673</v>
      </c>
      <c r="I411" s="248"/>
    </row>
    <row r="412" spans="1:9" x14ac:dyDescent="0.3">
      <c r="A412" s="198" t="s">
        <v>1306</v>
      </c>
      <c r="B412" s="199" t="s">
        <v>91</v>
      </c>
      <c r="C412" s="205">
        <v>0.17708333333333334</v>
      </c>
      <c r="D412" s="205">
        <v>0.20833333333333334</v>
      </c>
      <c r="E412" s="201">
        <f t="shared" si="18"/>
        <v>3.125E-2</v>
      </c>
      <c r="F412" s="222" t="s">
        <v>1054</v>
      </c>
      <c r="G412" s="230" t="s">
        <v>1304</v>
      </c>
      <c r="H412" s="196" t="s">
        <v>673</v>
      </c>
      <c r="I412" s="248"/>
    </row>
    <row r="413" spans="1:9" x14ac:dyDescent="0.3">
      <c r="A413" s="198" t="s">
        <v>1306</v>
      </c>
      <c r="B413" s="199" t="s">
        <v>91</v>
      </c>
      <c r="C413" s="205">
        <v>0.20833333333333334</v>
      </c>
      <c r="D413" s="205">
        <v>0.21875</v>
      </c>
      <c r="E413" s="201">
        <f t="shared" si="18"/>
        <v>1.0416666666666657E-2</v>
      </c>
      <c r="F413" s="196" t="s">
        <v>1054</v>
      </c>
      <c r="G413" s="225" t="s">
        <v>1268</v>
      </c>
      <c r="H413" s="196" t="s">
        <v>44</v>
      </c>
      <c r="I413" s="225"/>
    </row>
    <row r="414" spans="1:9" x14ac:dyDescent="0.3">
      <c r="A414" s="198" t="s">
        <v>1306</v>
      </c>
      <c r="B414" s="199" t="s">
        <v>91</v>
      </c>
      <c r="C414" s="205">
        <v>0.21875</v>
      </c>
      <c r="D414" s="205">
        <v>0.22222222222222221</v>
      </c>
      <c r="E414" s="201">
        <f t="shared" si="18"/>
        <v>3.4722222222222099E-3</v>
      </c>
      <c r="F414" s="224" t="s">
        <v>1054</v>
      </c>
      <c r="G414" s="125" t="s">
        <v>1320</v>
      </c>
      <c r="H414" s="196" t="s">
        <v>44</v>
      </c>
      <c r="I414" s="225"/>
    </row>
    <row r="415" spans="1:9" x14ac:dyDescent="0.3">
      <c r="A415" s="198" t="s">
        <v>1306</v>
      </c>
      <c r="B415" s="199" t="s">
        <v>91</v>
      </c>
      <c r="C415" s="205">
        <v>0.22222222222222221</v>
      </c>
      <c r="D415" s="205">
        <v>0.24652777777777779</v>
      </c>
      <c r="E415" s="201">
        <f t="shared" si="18"/>
        <v>2.430555555555558E-2</v>
      </c>
      <c r="F415" s="202" t="s">
        <v>1054</v>
      </c>
      <c r="G415" s="128" t="s">
        <v>1311</v>
      </c>
      <c r="H415" s="196" t="s">
        <v>44</v>
      </c>
      <c r="I415" s="225"/>
    </row>
    <row r="416" spans="1:9" x14ac:dyDescent="0.3">
      <c r="A416" s="198" t="s">
        <v>1306</v>
      </c>
      <c r="B416" s="199" t="s">
        <v>91</v>
      </c>
      <c r="C416" s="205">
        <v>0.24652777777777779</v>
      </c>
      <c r="D416" s="205">
        <v>0.25694444444444442</v>
      </c>
      <c r="E416" s="201">
        <f t="shared" si="18"/>
        <v>1.041666666666663E-2</v>
      </c>
      <c r="F416" s="202" t="s">
        <v>1054</v>
      </c>
      <c r="G416" s="230" t="s">
        <v>1272</v>
      </c>
      <c r="H416" s="196" t="s">
        <v>44</v>
      </c>
      <c r="I416" s="225"/>
    </row>
    <row r="417" spans="1:9" x14ac:dyDescent="0.3">
      <c r="A417" s="198" t="s">
        <v>1306</v>
      </c>
      <c r="B417" s="199" t="s">
        <v>91</v>
      </c>
      <c r="C417" s="205">
        <v>0.25694444444444442</v>
      </c>
      <c r="D417" s="205">
        <v>0.2673611111111111</v>
      </c>
      <c r="E417" s="201">
        <f t="shared" si="18"/>
        <v>1.0416666666666685E-2</v>
      </c>
      <c r="F417" s="202" t="s">
        <v>1054</v>
      </c>
      <c r="G417" s="143" t="s">
        <v>1274</v>
      </c>
      <c r="H417" s="196"/>
      <c r="I417" s="225"/>
    </row>
    <row r="418" spans="1:9" x14ac:dyDescent="0.3">
      <c r="A418" s="198" t="s">
        <v>1306</v>
      </c>
      <c r="B418" s="199" t="s">
        <v>91</v>
      </c>
      <c r="C418" s="205">
        <v>0.2673611111111111</v>
      </c>
      <c r="D418" s="205">
        <v>0.2986111111111111</v>
      </c>
      <c r="E418" s="201">
        <f t="shared" si="18"/>
        <v>3.125E-2</v>
      </c>
      <c r="F418" s="202" t="s">
        <v>1054</v>
      </c>
      <c r="G418" s="125" t="s">
        <v>1275</v>
      </c>
      <c r="H418" s="196"/>
      <c r="I418" s="225"/>
    </row>
    <row r="419" spans="1:9" x14ac:dyDescent="0.3">
      <c r="A419" s="13"/>
      <c r="B419" s="13"/>
      <c r="C419" s="13"/>
      <c r="D419" s="13"/>
      <c r="E419" s="13"/>
      <c r="F419" s="13"/>
      <c r="G419" s="13"/>
      <c r="H419" s="13"/>
    </row>
    <row r="420" spans="1:9" x14ac:dyDescent="0.3">
      <c r="A420" s="190" t="s">
        <v>1</v>
      </c>
      <c r="B420" s="208" t="s">
        <v>2</v>
      </c>
      <c r="C420" s="209" t="s">
        <v>3</v>
      </c>
      <c r="D420" s="210"/>
      <c r="E420" s="211" t="s">
        <v>4</v>
      </c>
      <c r="F420" s="190" t="s">
        <v>5</v>
      </c>
      <c r="G420" s="190" t="s">
        <v>6</v>
      </c>
      <c r="H420" s="190" t="s">
        <v>7</v>
      </c>
    </row>
    <row r="421" spans="1:9" x14ac:dyDescent="0.3">
      <c r="A421" s="212"/>
      <c r="B421" s="213"/>
      <c r="C421" s="196" t="s">
        <v>9</v>
      </c>
      <c r="D421" s="196" t="s">
        <v>10</v>
      </c>
      <c r="E421" s="214"/>
      <c r="F421" s="215"/>
      <c r="G421" s="215"/>
      <c r="H421" s="215"/>
    </row>
    <row r="422" spans="1:9" x14ac:dyDescent="0.3">
      <c r="A422" s="198" t="s">
        <v>1321</v>
      </c>
      <c r="B422" s="199" t="s">
        <v>93</v>
      </c>
      <c r="C422" s="200">
        <v>0.91666666666666663</v>
      </c>
      <c r="D422" s="200">
        <v>0.92708333333333337</v>
      </c>
      <c r="E422" s="201">
        <f>D422-C422</f>
        <v>1.0416666666666741E-2</v>
      </c>
      <c r="F422" s="202" t="s">
        <v>1054</v>
      </c>
      <c r="G422" s="203" t="s">
        <v>1252</v>
      </c>
      <c r="H422" s="196" t="s">
        <v>1056</v>
      </c>
    </row>
    <row r="423" spans="1:9" x14ac:dyDescent="0.3">
      <c r="A423" s="198" t="s">
        <v>1321</v>
      </c>
      <c r="B423" s="199" t="s">
        <v>93</v>
      </c>
      <c r="C423" s="200">
        <v>0.93055555555555558</v>
      </c>
      <c r="D423" s="205">
        <v>0.9375</v>
      </c>
      <c r="E423" s="201">
        <f t="shared" ref="E423:E451" si="19">D423-C423</f>
        <v>6.9444444444444198E-3</v>
      </c>
      <c r="F423" s="202" t="s">
        <v>1054</v>
      </c>
      <c r="G423" s="125" t="s">
        <v>1322</v>
      </c>
      <c r="H423" s="196" t="s">
        <v>1120</v>
      </c>
    </row>
    <row r="424" spans="1:9" x14ac:dyDescent="0.3">
      <c r="A424" s="198" t="s">
        <v>1321</v>
      </c>
      <c r="B424" s="199" t="s">
        <v>93</v>
      </c>
      <c r="C424" s="205">
        <v>0.9375</v>
      </c>
      <c r="D424" s="205">
        <v>0.95833333333333337</v>
      </c>
      <c r="E424" s="201">
        <f t="shared" si="19"/>
        <v>2.083333333333337E-2</v>
      </c>
      <c r="F424" s="202" t="s">
        <v>1054</v>
      </c>
      <c r="G424" s="128" t="s">
        <v>1323</v>
      </c>
      <c r="H424" s="196" t="s">
        <v>1120</v>
      </c>
    </row>
    <row r="425" spans="1:9" x14ac:dyDescent="0.3">
      <c r="A425" s="198" t="s">
        <v>1321</v>
      </c>
      <c r="B425" s="199" t="s">
        <v>93</v>
      </c>
      <c r="C425" s="205">
        <v>0.95833333333333337</v>
      </c>
      <c r="D425" s="205">
        <v>0.96875</v>
      </c>
      <c r="E425" s="201">
        <f t="shared" si="19"/>
        <v>1.041666666666663E-2</v>
      </c>
      <c r="F425" s="222" t="s">
        <v>1054</v>
      </c>
      <c r="G425" s="125" t="s">
        <v>1253</v>
      </c>
      <c r="H425" s="196" t="s">
        <v>44</v>
      </c>
    </row>
    <row r="426" spans="1:9" x14ac:dyDescent="0.3">
      <c r="A426" s="198" t="s">
        <v>1321</v>
      </c>
      <c r="B426" s="199" t="s">
        <v>93</v>
      </c>
      <c r="C426" s="205">
        <v>0.96875</v>
      </c>
      <c r="D426" s="205">
        <v>0.97916666666666663</v>
      </c>
      <c r="E426" s="201">
        <f t="shared" si="19"/>
        <v>1.041666666666663E-2</v>
      </c>
      <c r="F426" s="202" t="s">
        <v>1054</v>
      </c>
      <c r="G426" s="128" t="s">
        <v>1309</v>
      </c>
      <c r="H426" s="196" t="s">
        <v>44</v>
      </c>
    </row>
    <row r="427" spans="1:9" x14ac:dyDescent="0.3">
      <c r="A427" s="198" t="s">
        <v>1321</v>
      </c>
      <c r="B427" s="199" t="s">
        <v>93</v>
      </c>
      <c r="C427" s="205">
        <v>0.97916666666666663</v>
      </c>
      <c r="D427" s="205">
        <v>2.0833333333333332E-2</v>
      </c>
      <c r="E427" s="201">
        <v>4.1666666666666664E-2</v>
      </c>
      <c r="F427" s="224" t="s">
        <v>1054</v>
      </c>
      <c r="G427" s="128" t="s">
        <v>1324</v>
      </c>
      <c r="H427" s="196" t="s">
        <v>673</v>
      </c>
    </row>
    <row r="428" spans="1:9" x14ac:dyDescent="0.3">
      <c r="A428" s="198" t="s">
        <v>1321</v>
      </c>
      <c r="B428" s="199" t="s">
        <v>93</v>
      </c>
      <c r="C428" s="205">
        <v>2.0833333333333332E-2</v>
      </c>
      <c r="D428" s="205">
        <v>5.2083333333333336E-2</v>
      </c>
      <c r="E428" s="201">
        <f t="shared" si="19"/>
        <v>3.125E-2</v>
      </c>
      <c r="F428" s="227" t="s">
        <v>1054</v>
      </c>
      <c r="G428" s="143" t="s">
        <v>1072</v>
      </c>
      <c r="H428" s="216" t="s">
        <v>1258</v>
      </c>
    </row>
    <row r="429" spans="1:9" x14ac:dyDescent="0.3">
      <c r="A429" s="198" t="s">
        <v>1321</v>
      </c>
      <c r="B429" s="199" t="s">
        <v>93</v>
      </c>
      <c r="C429" s="205">
        <v>5.2083333333333336E-2</v>
      </c>
      <c r="D429" s="205">
        <v>5.9027777777777776E-2</v>
      </c>
      <c r="E429" s="201">
        <f t="shared" si="19"/>
        <v>6.9444444444444406E-3</v>
      </c>
      <c r="F429" s="202" t="s">
        <v>1054</v>
      </c>
      <c r="G429" s="230" t="s">
        <v>1259</v>
      </c>
      <c r="H429" s="216" t="s">
        <v>44</v>
      </c>
    </row>
    <row r="430" spans="1:9" x14ac:dyDescent="0.3">
      <c r="A430" s="198" t="s">
        <v>1321</v>
      </c>
      <c r="B430" s="199" t="s">
        <v>93</v>
      </c>
      <c r="C430" s="205">
        <v>5.9027777777777776E-2</v>
      </c>
      <c r="D430" s="205">
        <v>6.5972222222222224E-2</v>
      </c>
      <c r="E430" s="201">
        <f t="shared" si="19"/>
        <v>6.9444444444444475E-3</v>
      </c>
      <c r="F430" s="202" t="s">
        <v>1054</v>
      </c>
      <c r="G430" s="251" t="s">
        <v>1312</v>
      </c>
      <c r="H430" s="196" t="s">
        <v>44</v>
      </c>
    </row>
    <row r="431" spans="1:9" x14ac:dyDescent="0.3">
      <c r="A431" s="198" t="s">
        <v>1321</v>
      </c>
      <c r="B431" s="199" t="s">
        <v>93</v>
      </c>
      <c r="C431" s="205">
        <v>6.5972222222222224E-2</v>
      </c>
      <c r="D431" s="205">
        <v>6.9444444444444448E-2</v>
      </c>
      <c r="E431" s="201">
        <f t="shared" si="19"/>
        <v>3.4722222222222238E-3</v>
      </c>
      <c r="F431" s="224" t="s">
        <v>1054</v>
      </c>
      <c r="G431" s="251" t="s">
        <v>1313</v>
      </c>
      <c r="H431" s="196" t="s">
        <v>44</v>
      </c>
    </row>
    <row r="432" spans="1:9" x14ac:dyDescent="0.3">
      <c r="A432" s="198" t="s">
        <v>1321</v>
      </c>
      <c r="B432" s="199" t="s">
        <v>93</v>
      </c>
      <c r="C432" s="205">
        <v>6.9444444444444448E-2</v>
      </c>
      <c r="D432" s="205">
        <v>7.9861111111111105E-2</v>
      </c>
      <c r="E432" s="201">
        <f t="shared" si="19"/>
        <v>1.0416666666666657E-2</v>
      </c>
      <c r="F432" s="222" t="s">
        <v>1054</v>
      </c>
      <c r="G432" s="249" t="s">
        <v>1261</v>
      </c>
      <c r="H432" s="196" t="s">
        <v>44</v>
      </c>
    </row>
    <row r="433" spans="1:8" x14ac:dyDescent="0.3">
      <c r="A433" s="198" t="s">
        <v>1321</v>
      </c>
      <c r="B433" s="199" t="s">
        <v>93</v>
      </c>
      <c r="C433" s="205">
        <v>7.9861111111111105E-2</v>
      </c>
      <c r="D433" s="205">
        <v>8.3333333333333329E-2</v>
      </c>
      <c r="E433" s="201">
        <f t="shared" si="19"/>
        <v>3.4722222222222238E-3</v>
      </c>
      <c r="F433" s="202" t="s">
        <v>1054</v>
      </c>
      <c r="G433" s="249" t="s">
        <v>1280</v>
      </c>
      <c r="H433" s="196" t="s">
        <v>44</v>
      </c>
    </row>
    <row r="434" spans="1:8" x14ac:dyDescent="0.3">
      <c r="A434" s="198" t="s">
        <v>1321</v>
      </c>
      <c r="B434" s="199" t="s">
        <v>93</v>
      </c>
      <c r="C434" s="205">
        <v>8.3333333333333329E-2</v>
      </c>
      <c r="D434" s="231">
        <v>0.1076388888888889</v>
      </c>
      <c r="E434" s="201">
        <f t="shared" si="19"/>
        <v>2.4305555555555566E-2</v>
      </c>
      <c r="F434" s="252" t="s">
        <v>1054</v>
      </c>
      <c r="G434" s="249" t="s">
        <v>1325</v>
      </c>
      <c r="H434" s="196" t="s">
        <v>44</v>
      </c>
    </row>
    <row r="435" spans="1:8" x14ac:dyDescent="0.3">
      <c r="A435" s="198" t="s">
        <v>1321</v>
      </c>
      <c r="B435" s="199" t="s">
        <v>93</v>
      </c>
      <c r="C435" s="231">
        <v>0.1076388888888889</v>
      </c>
      <c r="D435" s="205">
        <v>0.1111111111111111</v>
      </c>
      <c r="E435" s="201">
        <f t="shared" si="19"/>
        <v>3.4722222222222099E-3</v>
      </c>
      <c r="F435" s="240" t="s">
        <v>1054</v>
      </c>
      <c r="G435" s="249" t="s">
        <v>1326</v>
      </c>
      <c r="H435" s="196" t="s">
        <v>1327</v>
      </c>
    </row>
    <row r="436" spans="1:8" x14ac:dyDescent="0.3">
      <c r="A436" s="198" t="s">
        <v>1321</v>
      </c>
      <c r="B436" s="199" t="s">
        <v>93</v>
      </c>
      <c r="C436" s="205">
        <v>0.1111111111111111</v>
      </c>
      <c r="D436" s="205">
        <v>0.125</v>
      </c>
      <c r="E436" s="201">
        <f t="shared" si="19"/>
        <v>1.3888888888888895E-2</v>
      </c>
      <c r="F436" s="196" t="s">
        <v>1054</v>
      </c>
      <c r="G436" s="249" t="s">
        <v>1328</v>
      </c>
      <c r="H436" s="196" t="s">
        <v>1327</v>
      </c>
    </row>
    <row r="437" spans="1:8" x14ac:dyDescent="0.3">
      <c r="A437" s="198" t="s">
        <v>1321</v>
      </c>
      <c r="B437" s="199" t="s">
        <v>93</v>
      </c>
      <c r="C437" s="205">
        <v>0.125</v>
      </c>
      <c r="D437" s="205">
        <v>0.14583333333333334</v>
      </c>
      <c r="E437" s="201">
        <f t="shared" si="19"/>
        <v>2.0833333333333343E-2</v>
      </c>
      <c r="F437" s="224" t="s">
        <v>1054</v>
      </c>
      <c r="G437" s="249" t="s">
        <v>1329</v>
      </c>
      <c r="H437" s="196" t="s">
        <v>673</v>
      </c>
    </row>
    <row r="438" spans="1:8" x14ac:dyDescent="0.3">
      <c r="A438" s="198" t="s">
        <v>1321</v>
      </c>
      <c r="B438" s="199" t="s">
        <v>93</v>
      </c>
      <c r="C438" s="205">
        <v>0.14583333333333334</v>
      </c>
      <c r="D438" s="205">
        <v>0.15277777777777779</v>
      </c>
      <c r="E438" s="201">
        <f t="shared" si="19"/>
        <v>6.9444444444444475E-3</v>
      </c>
      <c r="F438" s="202" t="s">
        <v>1054</v>
      </c>
      <c r="G438" s="128" t="s">
        <v>1330</v>
      </c>
      <c r="H438" s="196" t="s">
        <v>673</v>
      </c>
    </row>
    <row r="439" spans="1:8" x14ac:dyDescent="0.3">
      <c r="A439" s="198" t="s">
        <v>1321</v>
      </c>
      <c r="B439" s="199" t="s">
        <v>93</v>
      </c>
      <c r="C439" s="205">
        <v>0.15277777777777779</v>
      </c>
      <c r="D439" s="205">
        <v>0.16666666666666666</v>
      </c>
      <c r="E439" s="201">
        <f t="shared" si="19"/>
        <v>1.3888888888888867E-2</v>
      </c>
      <c r="F439" s="202" t="s">
        <v>1054</v>
      </c>
      <c r="G439" s="249" t="s">
        <v>1331</v>
      </c>
      <c r="H439" s="196" t="s">
        <v>673</v>
      </c>
    </row>
    <row r="440" spans="1:8" x14ac:dyDescent="0.3">
      <c r="A440" s="198" t="s">
        <v>1321</v>
      </c>
      <c r="B440" s="199" t="s">
        <v>93</v>
      </c>
      <c r="C440" s="205">
        <v>0.16666666666666666</v>
      </c>
      <c r="D440" s="205">
        <v>0.18055555555555555</v>
      </c>
      <c r="E440" s="201">
        <f t="shared" si="19"/>
        <v>1.3888888888888895E-2</v>
      </c>
      <c r="F440" s="202" t="s">
        <v>1054</v>
      </c>
      <c r="G440" s="249" t="s">
        <v>1332</v>
      </c>
      <c r="H440" s="196"/>
    </row>
    <row r="441" spans="1:8" x14ac:dyDescent="0.3">
      <c r="A441" s="198" t="s">
        <v>1321</v>
      </c>
      <c r="B441" s="199" t="s">
        <v>93</v>
      </c>
      <c r="C441" s="205">
        <v>0.18055555555555555</v>
      </c>
      <c r="D441" s="205">
        <v>0.18402777777777779</v>
      </c>
      <c r="E441" s="201">
        <f t="shared" si="19"/>
        <v>3.4722222222222376E-3</v>
      </c>
      <c r="F441" s="202" t="s">
        <v>1054</v>
      </c>
      <c r="G441" s="249" t="s">
        <v>1333</v>
      </c>
      <c r="H441" s="196" t="s">
        <v>673</v>
      </c>
    </row>
    <row r="442" spans="1:8" x14ac:dyDescent="0.3">
      <c r="A442" s="198" t="s">
        <v>1321</v>
      </c>
      <c r="B442" s="199" t="s">
        <v>93</v>
      </c>
      <c r="C442" s="205">
        <v>0.18402777777777779</v>
      </c>
      <c r="D442" s="205">
        <v>0.19097222222222221</v>
      </c>
      <c r="E442" s="201">
        <f t="shared" si="19"/>
        <v>6.9444444444444198E-3</v>
      </c>
      <c r="F442" s="222" t="s">
        <v>1054</v>
      </c>
      <c r="G442" s="230" t="s">
        <v>1334</v>
      </c>
      <c r="H442" s="196" t="s">
        <v>44</v>
      </c>
    </row>
    <row r="443" spans="1:8" x14ac:dyDescent="0.3">
      <c r="A443" s="198" t="s">
        <v>1321</v>
      </c>
      <c r="B443" s="199" t="s">
        <v>93</v>
      </c>
      <c r="C443" s="205">
        <v>0.19097222222222221</v>
      </c>
      <c r="D443" s="205">
        <v>0.21875</v>
      </c>
      <c r="E443" s="201">
        <f t="shared" si="19"/>
        <v>2.777777777777779E-2</v>
      </c>
      <c r="F443" s="196" t="s">
        <v>1054</v>
      </c>
      <c r="G443" s="249" t="s">
        <v>1335</v>
      </c>
      <c r="H443" s="196" t="s">
        <v>673</v>
      </c>
    </row>
    <row r="444" spans="1:8" x14ac:dyDescent="0.3">
      <c r="A444" s="198" t="s">
        <v>1321</v>
      </c>
      <c r="B444" s="199" t="s">
        <v>93</v>
      </c>
      <c r="C444" s="205">
        <v>0.21875</v>
      </c>
      <c r="D444" s="205">
        <v>0.22916666666666666</v>
      </c>
      <c r="E444" s="201">
        <f t="shared" si="19"/>
        <v>1.0416666666666657E-2</v>
      </c>
      <c r="F444" s="224" t="s">
        <v>1054</v>
      </c>
      <c r="G444" s="125" t="s">
        <v>1336</v>
      </c>
      <c r="H444" s="196" t="s">
        <v>673</v>
      </c>
    </row>
    <row r="445" spans="1:8" x14ac:dyDescent="0.3">
      <c r="A445" s="198" t="s">
        <v>1321</v>
      </c>
      <c r="B445" s="199" t="s">
        <v>93</v>
      </c>
      <c r="C445" s="205">
        <v>0.22916666666666666</v>
      </c>
      <c r="D445" s="205">
        <v>0.2361111111111111</v>
      </c>
      <c r="E445" s="201">
        <f t="shared" si="19"/>
        <v>6.9444444444444475E-3</v>
      </c>
      <c r="F445" s="202" t="s">
        <v>1054</v>
      </c>
      <c r="G445" s="128" t="s">
        <v>1337</v>
      </c>
      <c r="H445" s="196" t="s">
        <v>44</v>
      </c>
    </row>
    <row r="446" spans="1:8" x14ac:dyDescent="0.3">
      <c r="A446" s="198" t="s">
        <v>1321</v>
      </c>
      <c r="B446" s="199" t="s">
        <v>93</v>
      </c>
      <c r="C446" s="205">
        <v>0.2361111111111111</v>
      </c>
      <c r="D446" s="205">
        <v>0.24652777777777779</v>
      </c>
      <c r="E446" s="201">
        <f t="shared" si="19"/>
        <v>1.0416666666666685E-2</v>
      </c>
      <c r="F446" s="202" t="s">
        <v>1054</v>
      </c>
      <c r="G446" s="225" t="s">
        <v>1268</v>
      </c>
      <c r="H446" s="196" t="s">
        <v>1258</v>
      </c>
    </row>
    <row r="447" spans="1:8" x14ac:dyDescent="0.3">
      <c r="A447" s="198" t="s">
        <v>1321</v>
      </c>
      <c r="B447" s="199" t="s">
        <v>93</v>
      </c>
      <c r="C447" s="205">
        <v>0.24652777777777779</v>
      </c>
      <c r="D447" s="205">
        <v>0.25694444444444442</v>
      </c>
      <c r="E447" s="201">
        <f t="shared" si="19"/>
        <v>1.041666666666663E-2</v>
      </c>
      <c r="F447" s="202" t="s">
        <v>1054</v>
      </c>
      <c r="G447" s="230" t="s">
        <v>1272</v>
      </c>
      <c r="H447" s="196" t="s">
        <v>44</v>
      </c>
    </row>
    <row r="448" spans="1:8" x14ac:dyDescent="0.3">
      <c r="A448" s="198" t="s">
        <v>1321</v>
      </c>
      <c r="B448" s="199" t="s">
        <v>93</v>
      </c>
      <c r="C448" s="205">
        <v>0.25694444444444442</v>
      </c>
      <c r="D448" s="205">
        <v>0.26041666666666669</v>
      </c>
      <c r="E448" s="201">
        <f t="shared" si="19"/>
        <v>3.4722222222222654E-3</v>
      </c>
      <c r="F448" s="202" t="s">
        <v>1054</v>
      </c>
      <c r="G448" s="143" t="s">
        <v>1274</v>
      </c>
      <c r="H448" s="196" t="s">
        <v>44</v>
      </c>
    </row>
    <row r="449" spans="1:8" x14ac:dyDescent="0.3">
      <c r="A449" s="198" t="s">
        <v>1321</v>
      </c>
      <c r="B449" s="199" t="s">
        <v>93</v>
      </c>
      <c r="C449" s="205">
        <v>0.26041666666666669</v>
      </c>
      <c r="D449" s="205">
        <v>0.2638888888888889</v>
      </c>
      <c r="E449" s="201">
        <f t="shared" si="19"/>
        <v>3.4722222222222099E-3</v>
      </c>
      <c r="F449" s="202" t="s">
        <v>1054</v>
      </c>
      <c r="G449" s="128" t="s">
        <v>1308</v>
      </c>
      <c r="H449" s="196" t="s">
        <v>44</v>
      </c>
    </row>
    <row r="450" spans="1:8" x14ac:dyDescent="0.3">
      <c r="A450" s="198" t="s">
        <v>1321</v>
      </c>
      <c r="B450" s="199" t="s">
        <v>93</v>
      </c>
      <c r="C450" s="205">
        <v>0.2638888888888889</v>
      </c>
      <c r="D450" s="205">
        <v>0.2986111111111111</v>
      </c>
      <c r="E450" s="201">
        <f t="shared" si="19"/>
        <v>3.472222222222221E-2</v>
      </c>
      <c r="F450" s="202" t="s">
        <v>1054</v>
      </c>
      <c r="G450" s="125" t="s">
        <v>1275</v>
      </c>
      <c r="H450" s="196" t="s">
        <v>44</v>
      </c>
    </row>
    <row r="451" spans="1:8" x14ac:dyDescent="0.3">
      <c r="A451" s="198" t="s">
        <v>1321</v>
      </c>
      <c r="B451" s="199" t="s">
        <v>93</v>
      </c>
      <c r="C451" s="205">
        <v>0.2986111111111111</v>
      </c>
      <c r="D451" s="205">
        <v>0.3125</v>
      </c>
      <c r="E451" s="201">
        <f t="shared" si="19"/>
        <v>1.3888888888888895E-2</v>
      </c>
      <c r="F451" s="202" t="s">
        <v>1054</v>
      </c>
      <c r="G451" s="143" t="s">
        <v>1323</v>
      </c>
      <c r="H451" s="196" t="s">
        <v>1338</v>
      </c>
    </row>
    <row r="454" spans="1:8" x14ac:dyDescent="0.3">
      <c r="A454" s="256"/>
      <c r="B454" s="256"/>
      <c r="C454" s="256"/>
      <c r="D454" s="256"/>
      <c r="E454" s="256"/>
      <c r="F454" s="256"/>
      <c r="G454" s="256"/>
      <c r="H454" s="256"/>
    </row>
    <row r="455" spans="1:8" x14ac:dyDescent="0.3">
      <c r="A455" s="192" t="s">
        <v>1</v>
      </c>
      <c r="B455" s="192" t="s">
        <v>2</v>
      </c>
      <c r="C455" s="192" t="s">
        <v>3</v>
      </c>
      <c r="D455" s="192"/>
      <c r="E455" s="192" t="s">
        <v>4</v>
      </c>
      <c r="F455" s="192" t="s">
        <v>5</v>
      </c>
      <c r="G455" s="192" t="s">
        <v>6</v>
      </c>
      <c r="H455" s="192" t="s">
        <v>7</v>
      </c>
    </row>
    <row r="456" spans="1:8" x14ac:dyDescent="0.3">
      <c r="A456" s="192"/>
      <c r="B456" s="192"/>
      <c r="C456" s="196" t="s">
        <v>9</v>
      </c>
      <c r="D456" s="196" t="s">
        <v>10</v>
      </c>
      <c r="E456" s="192"/>
      <c r="F456" s="192"/>
      <c r="G456" s="192"/>
      <c r="H456" s="192"/>
    </row>
    <row r="457" spans="1:8" x14ac:dyDescent="0.3">
      <c r="A457" s="242" t="s">
        <v>1339</v>
      </c>
      <c r="B457" s="196" t="s">
        <v>12</v>
      </c>
      <c r="C457" s="243">
        <v>0.58333333333333337</v>
      </c>
      <c r="D457" s="243">
        <v>0.59027777777777779</v>
      </c>
      <c r="E457" s="243">
        <f>D457-C457</f>
        <v>6.9444444444444198E-3</v>
      </c>
      <c r="F457" s="196" t="s">
        <v>1054</v>
      </c>
      <c r="G457" s="143" t="s">
        <v>1340</v>
      </c>
      <c r="H457" s="196"/>
    </row>
    <row r="458" spans="1:8" x14ac:dyDescent="0.3">
      <c r="A458" s="242" t="s">
        <v>1341</v>
      </c>
      <c r="B458" s="196" t="s">
        <v>12</v>
      </c>
      <c r="C458" s="243">
        <v>0.59027777777777779</v>
      </c>
      <c r="D458" s="243">
        <v>0.60763888888888884</v>
      </c>
      <c r="E458" s="243">
        <f t="shared" ref="E458:E475" si="20">D458-C458</f>
        <v>1.7361111111111049E-2</v>
      </c>
      <c r="F458" s="196" t="s">
        <v>1054</v>
      </c>
      <c r="G458" s="143" t="s">
        <v>1342</v>
      </c>
      <c r="H458" s="196"/>
    </row>
    <row r="459" spans="1:8" x14ac:dyDescent="0.3">
      <c r="A459" s="242" t="s">
        <v>1343</v>
      </c>
      <c r="B459" s="196" t="s">
        <v>12</v>
      </c>
      <c r="C459" s="243">
        <v>0.64583333333333337</v>
      </c>
      <c r="D459" s="243">
        <v>0.66666666666666663</v>
      </c>
      <c r="E459" s="243">
        <f t="shared" si="20"/>
        <v>2.0833333333333259E-2</v>
      </c>
      <c r="F459" s="196" t="s">
        <v>1054</v>
      </c>
      <c r="G459" s="143" t="s">
        <v>1344</v>
      </c>
      <c r="H459" s="196"/>
    </row>
    <row r="460" spans="1:8" x14ac:dyDescent="0.3">
      <c r="A460" s="242" t="s">
        <v>1345</v>
      </c>
      <c r="B460" s="196" t="s">
        <v>12</v>
      </c>
      <c r="C460" s="243">
        <v>0.66666666666666663</v>
      </c>
      <c r="D460" s="243">
        <v>0.6875</v>
      </c>
      <c r="E460" s="243">
        <f t="shared" si="20"/>
        <v>2.083333333333337E-2</v>
      </c>
      <c r="F460" s="196" t="s">
        <v>1054</v>
      </c>
      <c r="G460" s="143" t="s">
        <v>1346</v>
      </c>
      <c r="H460" s="196"/>
    </row>
    <row r="461" spans="1:8" x14ac:dyDescent="0.3">
      <c r="A461" s="242" t="s">
        <v>1347</v>
      </c>
      <c r="B461" s="196" t="s">
        <v>12</v>
      </c>
      <c r="C461" s="243">
        <v>0.6875</v>
      </c>
      <c r="D461" s="243">
        <v>0.69097222222222221</v>
      </c>
      <c r="E461" s="243">
        <f t="shared" si="20"/>
        <v>3.4722222222222099E-3</v>
      </c>
      <c r="F461" s="196" t="s">
        <v>1054</v>
      </c>
      <c r="G461" s="143" t="s">
        <v>1333</v>
      </c>
      <c r="H461" s="196"/>
    </row>
    <row r="462" spans="1:8" x14ac:dyDescent="0.3">
      <c r="A462" s="242" t="s">
        <v>1348</v>
      </c>
      <c r="B462" s="196" t="s">
        <v>12</v>
      </c>
      <c r="C462" s="243">
        <v>0.69097222222222221</v>
      </c>
      <c r="D462" s="243">
        <v>0.70486111111111116</v>
      </c>
      <c r="E462" s="243">
        <f t="shared" si="20"/>
        <v>1.3888888888888951E-2</v>
      </c>
      <c r="F462" s="196" t="s">
        <v>1054</v>
      </c>
      <c r="G462" s="143" t="s">
        <v>1349</v>
      </c>
      <c r="H462" s="196"/>
    </row>
    <row r="463" spans="1:8" x14ac:dyDescent="0.3">
      <c r="A463" s="242" t="s">
        <v>1350</v>
      </c>
      <c r="B463" s="196" t="s">
        <v>12</v>
      </c>
      <c r="C463" s="243">
        <v>0.70486111111111116</v>
      </c>
      <c r="D463" s="243">
        <v>0.75</v>
      </c>
      <c r="E463" s="243">
        <f t="shared" si="20"/>
        <v>4.513888888888884E-2</v>
      </c>
      <c r="F463" s="196" t="s">
        <v>1054</v>
      </c>
      <c r="G463" s="143" t="s">
        <v>1351</v>
      </c>
      <c r="H463" s="196"/>
    </row>
    <row r="464" spans="1:8" x14ac:dyDescent="0.3">
      <c r="A464" s="242" t="s">
        <v>1352</v>
      </c>
      <c r="B464" s="196" t="s">
        <v>12</v>
      </c>
      <c r="C464" s="243">
        <v>0.75</v>
      </c>
      <c r="D464" s="243">
        <v>0.79166666666666663</v>
      </c>
      <c r="E464" s="243">
        <f t="shared" si="20"/>
        <v>4.166666666666663E-2</v>
      </c>
      <c r="F464" s="196" t="s">
        <v>1054</v>
      </c>
      <c r="G464" s="230" t="s">
        <v>1221</v>
      </c>
      <c r="H464" s="196"/>
    </row>
    <row r="465" spans="1:8" x14ac:dyDescent="0.3">
      <c r="A465" s="242" t="s">
        <v>1353</v>
      </c>
      <c r="B465" s="196" t="s">
        <v>12</v>
      </c>
      <c r="C465" s="243">
        <v>0.79166666666666663</v>
      </c>
      <c r="D465" s="243">
        <v>0.82291666666666663</v>
      </c>
      <c r="E465" s="243">
        <f t="shared" si="20"/>
        <v>3.125E-2</v>
      </c>
      <c r="F465" s="196" t="s">
        <v>1054</v>
      </c>
      <c r="G465" s="230" t="s">
        <v>1354</v>
      </c>
      <c r="H465" s="196"/>
    </row>
    <row r="466" spans="1:8" x14ac:dyDescent="0.3">
      <c r="A466" s="242" t="s">
        <v>1355</v>
      </c>
      <c r="B466" s="196" t="s">
        <v>12</v>
      </c>
      <c r="C466" s="243">
        <v>0.82291666666666663</v>
      </c>
      <c r="D466" s="243">
        <v>0.83333333333333337</v>
      </c>
      <c r="E466" s="243">
        <f t="shared" si="20"/>
        <v>1.0416666666666741E-2</v>
      </c>
      <c r="F466" s="196" t="s">
        <v>1054</v>
      </c>
      <c r="G466" s="230" t="s">
        <v>1356</v>
      </c>
      <c r="H466" s="196"/>
    </row>
    <row r="467" spans="1:8" x14ac:dyDescent="0.3">
      <c r="A467" s="242" t="s">
        <v>1357</v>
      </c>
      <c r="B467" s="196" t="s">
        <v>12</v>
      </c>
      <c r="C467" s="243">
        <v>0.83333333333333337</v>
      </c>
      <c r="D467" s="243">
        <v>0.84375</v>
      </c>
      <c r="E467" s="243">
        <f t="shared" si="20"/>
        <v>1.041666666666663E-2</v>
      </c>
      <c r="F467" s="196" t="s">
        <v>1054</v>
      </c>
      <c r="G467" s="143" t="s">
        <v>1314</v>
      </c>
      <c r="H467" s="196"/>
    </row>
    <row r="468" spans="1:8" x14ac:dyDescent="0.3">
      <c r="A468" s="242" t="s">
        <v>1358</v>
      </c>
      <c r="B468" s="196" t="s">
        <v>12</v>
      </c>
      <c r="C468" s="243">
        <v>0.84375</v>
      </c>
      <c r="D468" s="243">
        <v>0.90625</v>
      </c>
      <c r="E468" s="243">
        <f t="shared" si="20"/>
        <v>6.25E-2</v>
      </c>
      <c r="F468" s="196" t="s">
        <v>1054</v>
      </c>
      <c r="G468" s="143" t="s">
        <v>1359</v>
      </c>
      <c r="H468" s="196"/>
    </row>
    <row r="469" spans="1:8" x14ac:dyDescent="0.3">
      <c r="A469" s="242" t="s">
        <v>1360</v>
      </c>
      <c r="B469" s="196" t="s">
        <v>12</v>
      </c>
      <c r="C469" s="243">
        <v>0.90625</v>
      </c>
      <c r="D469" s="257">
        <v>0.91319444444444442</v>
      </c>
      <c r="E469" s="243">
        <f t="shared" si="20"/>
        <v>6.9444444444444198E-3</v>
      </c>
      <c r="F469" s="196" t="s">
        <v>1054</v>
      </c>
      <c r="G469" s="143" t="s">
        <v>1361</v>
      </c>
      <c r="H469" s="196"/>
    </row>
    <row r="470" spans="1:8" x14ac:dyDescent="0.3">
      <c r="A470" s="242" t="s">
        <v>1362</v>
      </c>
      <c r="B470" s="196" t="s">
        <v>12</v>
      </c>
      <c r="C470" s="257">
        <v>0.91319444444444442</v>
      </c>
      <c r="D470" s="243">
        <v>0.92013888888888884</v>
      </c>
      <c r="E470" s="243">
        <f t="shared" si="20"/>
        <v>6.9444444444444198E-3</v>
      </c>
      <c r="F470" s="196" t="s">
        <v>1054</v>
      </c>
      <c r="G470" s="143" t="s">
        <v>1363</v>
      </c>
      <c r="H470" s="196"/>
    </row>
    <row r="471" spans="1:8" x14ac:dyDescent="0.3">
      <c r="A471" s="242" t="s">
        <v>1364</v>
      </c>
      <c r="B471" s="196" t="s">
        <v>12</v>
      </c>
      <c r="C471" s="243">
        <v>0.92013888888888884</v>
      </c>
      <c r="D471" s="243">
        <v>0.94791666666666663</v>
      </c>
      <c r="E471" s="243">
        <f t="shared" si="20"/>
        <v>2.777777777777779E-2</v>
      </c>
      <c r="F471" s="196" t="s">
        <v>1054</v>
      </c>
      <c r="G471" s="143" t="s">
        <v>1365</v>
      </c>
      <c r="H471" s="196"/>
    </row>
    <row r="472" spans="1:8" x14ac:dyDescent="0.3">
      <c r="A472" s="242" t="s">
        <v>1366</v>
      </c>
      <c r="B472" s="196" t="s">
        <v>12</v>
      </c>
      <c r="C472" s="243">
        <v>0.94791666666666663</v>
      </c>
      <c r="D472" s="243">
        <v>0.95486111111111116</v>
      </c>
      <c r="E472" s="243">
        <f t="shared" si="20"/>
        <v>6.9444444444445308E-3</v>
      </c>
      <c r="F472" s="196" t="s">
        <v>1054</v>
      </c>
      <c r="G472" s="143" t="s">
        <v>1274</v>
      </c>
      <c r="H472" s="196"/>
    </row>
    <row r="473" spans="1:8" x14ac:dyDescent="0.3">
      <c r="A473" s="242" t="s">
        <v>1367</v>
      </c>
      <c r="B473" s="196" t="s">
        <v>12</v>
      </c>
      <c r="C473" s="243">
        <v>0.95486111111111116</v>
      </c>
      <c r="D473" s="243">
        <v>0.95833333333333337</v>
      </c>
      <c r="E473" s="243">
        <f t="shared" si="20"/>
        <v>3.4722222222222099E-3</v>
      </c>
      <c r="F473" s="196" t="s">
        <v>1054</v>
      </c>
      <c r="G473" s="143" t="s">
        <v>1308</v>
      </c>
      <c r="H473" s="196"/>
    </row>
    <row r="474" spans="1:8" x14ac:dyDescent="0.3">
      <c r="A474" s="242" t="s">
        <v>1368</v>
      </c>
      <c r="B474" s="196" t="s">
        <v>12</v>
      </c>
      <c r="C474" s="243">
        <v>0.95833333333333337</v>
      </c>
      <c r="D474" s="243">
        <v>0.97916666666666663</v>
      </c>
      <c r="E474" s="243">
        <f t="shared" si="20"/>
        <v>2.0833333333333259E-2</v>
      </c>
      <c r="F474" s="196" t="s">
        <v>1054</v>
      </c>
      <c r="G474" s="143" t="s">
        <v>1369</v>
      </c>
      <c r="H474" s="196"/>
    </row>
    <row r="475" spans="1:8" x14ac:dyDescent="0.3">
      <c r="A475" s="242" t="s">
        <v>1368</v>
      </c>
      <c r="B475" s="196" t="s">
        <v>12</v>
      </c>
      <c r="C475" s="243">
        <v>0.95833333333333337</v>
      </c>
      <c r="D475" s="243">
        <v>0.99652777777777779</v>
      </c>
      <c r="E475" s="243">
        <f t="shared" si="20"/>
        <v>3.819444444444442E-2</v>
      </c>
      <c r="F475" s="196" t="s">
        <v>1054</v>
      </c>
      <c r="G475" s="143" t="s">
        <v>1370</v>
      </c>
      <c r="H475" s="225"/>
    </row>
    <row r="477" spans="1:8" x14ac:dyDescent="0.3">
      <c r="A477" s="256"/>
      <c r="B477" s="256"/>
      <c r="C477" s="256"/>
      <c r="D477" s="256"/>
      <c r="E477" s="256"/>
      <c r="F477" s="256"/>
      <c r="G477" s="256"/>
      <c r="H477" s="256"/>
    </row>
    <row r="478" spans="1:8" x14ac:dyDescent="0.3">
      <c r="A478" s="192" t="s">
        <v>1</v>
      </c>
      <c r="B478" s="192" t="s">
        <v>2</v>
      </c>
      <c r="C478" s="192" t="s">
        <v>3</v>
      </c>
      <c r="D478" s="192"/>
      <c r="E478" s="192" t="s">
        <v>4</v>
      </c>
      <c r="F478" s="192" t="s">
        <v>5</v>
      </c>
      <c r="G478" s="192" t="s">
        <v>6</v>
      </c>
      <c r="H478" s="192" t="s">
        <v>7</v>
      </c>
    </row>
    <row r="479" spans="1:8" x14ac:dyDescent="0.3">
      <c r="A479" s="192"/>
      <c r="B479" s="192"/>
      <c r="C479" s="196" t="s">
        <v>9</v>
      </c>
      <c r="D479" s="196" t="s">
        <v>10</v>
      </c>
      <c r="E479" s="192"/>
      <c r="F479" s="192"/>
      <c r="G479" s="192"/>
      <c r="H479" s="192"/>
    </row>
    <row r="480" spans="1:8" x14ac:dyDescent="0.3">
      <c r="A480" s="242" t="s">
        <v>1371</v>
      </c>
      <c r="B480" s="196" t="s">
        <v>59</v>
      </c>
      <c r="C480" s="243">
        <v>0.58333333333333337</v>
      </c>
      <c r="D480" s="243">
        <v>0.59375</v>
      </c>
      <c r="E480" s="243">
        <f>D480-C480</f>
        <v>1.041666666666663E-2</v>
      </c>
      <c r="F480" s="196" t="s">
        <v>1054</v>
      </c>
      <c r="G480" s="143" t="s">
        <v>1340</v>
      </c>
      <c r="H480" s="196"/>
    </row>
    <row r="481" spans="1:8" x14ac:dyDescent="0.3">
      <c r="A481" s="242" t="s">
        <v>1371</v>
      </c>
      <c r="B481" s="196" t="s">
        <v>59</v>
      </c>
      <c r="C481" s="243">
        <v>0.59375</v>
      </c>
      <c r="D481" s="243">
        <v>0.60069444444444442</v>
      </c>
      <c r="E481" s="243">
        <f t="shared" ref="E481:E502" si="21">D481-C481</f>
        <v>6.9444444444444198E-3</v>
      </c>
      <c r="F481" s="196" t="s">
        <v>1054</v>
      </c>
      <c r="G481" s="143" t="s">
        <v>1372</v>
      </c>
      <c r="H481" s="196"/>
    </row>
    <row r="482" spans="1:8" x14ac:dyDescent="0.3">
      <c r="A482" s="242" t="s">
        <v>1371</v>
      </c>
      <c r="B482" s="196" t="s">
        <v>59</v>
      </c>
      <c r="C482" s="243">
        <v>0.60069444444444442</v>
      </c>
      <c r="D482" s="243">
        <v>0.61458333333333337</v>
      </c>
      <c r="E482" s="243">
        <f t="shared" si="21"/>
        <v>1.3888888888888951E-2</v>
      </c>
      <c r="F482" s="196" t="s">
        <v>1054</v>
      </c>
      <c r="G482" s="143" t="s">
        <v>1373</v>
      </c>
      <c r="H482" s="196"/>
    </row>
    <row r="483" spans="1:8" x14ac:dyDescent="0.3">
      <c r="A483" s="242" t="s">
        <v>1371</v>
      </c>
      <c r="B483" s="196" t="s">
        <v>59</v>
      </c>
      <c r="C483" s="243">
        <v>0.61458333333333337</v>
      </c>
      <c r="D483" s="243">
        <v>0.62152777777777779</v>
      </c>
      <c r="E483" s="243">
        <f t="shared" si="21"/>
        <v>6.9444444444444198E-3</v>
      </c>
      <c r="F483" s="196" t="s">
        <v>1054</v>
      </c>
      <c r="G483" s="143" t="s">
        <v>1361</v>
      </c>
      <c r="H483" s="196"/>
    </row>
    <row r="484" spans="1:8" x14ac:dyDescent="0.3">
      <c r="A484" s="242" t="s">
        <v>1371</v>
      </c>
      <c r="B484" s="196" t="s">
        <v>59</v>
      </c>
      <c r="C484" s="243">
        <v>0.62152777777777779</v>
      </c>
      <c r="D484" s="243">
        <v>0.65625</v>
      </c>
      <c r="E484" s="243">
        <f t="shared" si="21"/>
        <v>3.472222222222221E-2</v>
      </c>
      <c r="F484" s="196" t="s">
        <v>1054</v>
      </c>
      <c r="G484" s="143" t="s">
        <v>1374</v>
      </c>
      <c r="H484" s="196"/>
    </row>
    <row r="485" spans="1:8" x14ac:dyDescent="0.3">
      <c r="A485" s="242" t="s">
        <v>1371</v>
      </c>
      <c r="B485" s="196" t="s">
        <v>59</v>
      </c>
      <c r="C485" s="243">
        <v>0.65625</v>
      </c>
      <c r="D485" s="243">
        <v>0.66319444444444442</v>
      </c>
      <c r="E485" s="243">
        <f t="shared" si="21"/>
        <v>6.9444444444444198E-3</v>
      </c>
      <c r="F485" s="196" t="s">
        <v>1054</v>
      </c>
      <c r="G485" s="143" t="s">
        <v>1375</v>
      </c>
      <c r="H485" s="196"/>
    </row>
    <row r="486" spans="1:8" x14ac:dyDescent="0.3">
      <c r="A486" s="242" t="s">
        <v>1371</v>
      </c>
      <c r="B486" s="196" t="s">
        <v>59</v>
      </c>
      <c r="C486" s="243">
        <v>0.66319444444444442</v>
      </c>
      <c r="D486" s="243">
        <v>0.67361111111111116</v>
      </c>
      <c r="E486" s="243">
        <f t="shared" si="21"/>
        <v>1.0416666666666741E-2</v>
      </c>
      <c r="F486" s="196" t="s">
        <v>1054</v>
      </c>
      <c r="G486" s="143" t="s">
        <v>1376</v>
      </c>
      <c r="H486" s="196"/>
    </row>
    <row r="487" spans="1:8" x14ac:dyDescent="0.3">
      <c r="A487" s="242" t="s">
        <v>1371</v>
      </c>
      <c r="B487" s="196" t="s">
        <v>59</v>
      </c>
      <c r="C487" s="243">
        <v>0.67361111111111116</v>
      </c>
      <c r="D487" s="243">
        <v>0.6875</v>
      </c>
      <c r="E487" s="243">
        <f t="shared" si="21"/>
        <v>1.388888888888884E-2</v>
      </c>
      <c r="F487" s="196" t="s">
        <v>1054</v>
      </c>
      <c r="G487" s="230" t="s">
        <v>1377</v>
      </c>
      <c r="H487" s="196"/>
    </row>
    <row r="488" spans="1:8" x14ac:dyDescent="0.3">
      <c r="A488" s="242" t="s">
        <v>1371</v>
      </c>
      <c r="B488" s="196" t="s">
        <v>59</v>
      </c>
      <c r="C488" s="243">
        <v>0.6875</v>
      </c>
      <c r="D488" s="243">
        <v>0.70833333333333337</v>
      </c>
      <c r="E488" s="243">
        <f t="shared" si="21"/>
        <v>2.083333333333337E-2</v>
      </c>
      <c r="F488" s="196" t="s">
        <v>1054</v>
      </c>
      <c r="G488" s="230" t="s">
        <v>1378</v>
      </c>
      <c r="H488" s="196"/>
    </row>
    <row r="489" spans="1:8" x14ac:dyDescent="0.3">
      <c r="A489" s="242" t="s">
        <v>1371</v>
      </c>
      <c r="B489" s="196" t="s">
        <v>59</v>
      </c>
      <c r="C489" s="243">
        <v>0.70833333333333337</v>
      </c>
      <c r="D489" s="243">
        <v>0.73958333333333337</v>
      </c>
      <c r="E489" s="243">
        <f t="shared" si="21"/>
        <v>3.125E-2</v>
      </c>
      <c r="F489" s="196" t="s">
        <v>1054</v>
      </c>
      <c r="G489" s="230" t="s">
        <v>1379</v>
      </c>
      <c r="H489" s="196"/>
    </row>
    <row r="490" spans="1:8" x14ac:dyDescent="0.3">
      <c r="A490" s="242" t="s">
        <v>1371</v>
      </c>
      <c r="B490" s="196" t="s">
        <v>59</v>
      </c>
      <c r="C490" s="243">
        <v>0.73958333333333337</v>
      </c>
      <c r="D490" s="243">
        <v>0.78125</v>
      </c>
      <c r="E490" s="243">
        <f t="shared" si="21"/>
        <v>4.166666666666663E-2</v>
      </c>
      <c r="F490" s="196" t="s">
        <v>1054</v>
      </c>
      <c r="G490" s="143" t="s">
        <v>1380</v>
      </c>
      <c r="H490" s="196"/>
    </row>
    <row r="491" spans="1:8" x14ac:dyDescent="0.3">
      <c r="A491" s="242" t="s">
        <v>1371</v>
      </c>
      <c r="B491" s="196" t="s">
        <v>59</v>
      </c>
      <c r="C491" s="243">
        <v>0.78125</v>
      </c>
      <c r="D491" s="243">
        <v>0.81944444444444442</v>
      </c>
      <c r="E491" s="243">
        <f t="shared" si="21"/>
        <v>3.819444444444442E-2</v>
      </c>
      <c r="F491" s="196" t="s">
        <v>1054</v>
      </c>
      <c r="G491" s="143" t="s">
        <v>755</v>
      </c>
      <c r="H491" s="196"/>
    </row>
    <row r="492" spans="1:8" x14ac:dyDescent="0.3">
      <c r="A492" s="242" t="s">
        <v>1371</v>
      </c>
      <c r="B492" s="196" t="s">
        <v>59</v>
      </c>
      <c r="C492" s="243">
        <v>0.81944444444444442</v>
      </c>
      <c r="D492" s="257">
        <v>0.82291666666666663</v>
      </c>
      <c r="E492" s="243">
        <f t="shared" si="21"/>
        <v>3.4722222222222099E-3</v>
      </c>
      <c r="F492" s="196" t="s">
        <v>1054</v>
      </c>
      <c r="G492" s="143" t="s">
        <v>1361</v>
      </c>
      <c r="H492" s="196"/>
    </row>
    <row r="493" spans="1:8" x14ac:dyDescent="0.3">
      <c r="A493" s="242" t="s">
        <v>1371</v>
      </c>
      <c r="B493" s="196" t="s">
        <v>59</v>
      </c>
      <c r="C493" s="257">
        <v>0.82291666666666663</v>
      </c>
      <c r="D493" s="243">
        <v>0.83333333333333337</v>
      </c>
      <c r="E493" s="243">
        <f t="shared" si="21"/>
        <v>1.0416666666666741E-2</v>
      </c>
      <c r="F493" s="196" t="s">
        <v>1054</v>
      </c>
      <c r="G493" s="230" t="s">
        <v>1377</v>
      </c>
      <c r="H493" s="196"/>
    </row>
    <row r="494" spans="1:8" x14ac:dyDescent="0.3">
      <c r="A494" s="242" t="s">
        <v>1371</v>
      </c>
      <c r="B494" s="196" t="s">
        <v>59</v>
      </c>
      <c r="C494" s="243">
        <v>0.83333333333333337</v>
      </c>
      <c r="D494" s="243">
        <v>0.875</v>
      </c>
      <c r="E494" s="243">
        <f t="shared" si="21"/>
        <v>4.166666666666663E-2</v>
      </c>
      <c r="F494" s="196" t="s">
        <v>1054</v>
      </c>
      <c r="G494" s="143" t="s">
        <v>1381</v>
      </c>
      <c r="H494" s="196"/>
    </row>
    <row r="495" spans="1:8" x14ac:dyDescent="0.3">
      <c r="A495" s="242" t="s">
        <v>1371</v>
      </c>
      <c r="B495" s="196" t="s">
        <v>59</v>
      </c>
      <c r="C495" s="243">
        <v>0.875</v>
      </c>
      <c r="D495" s="243">
        <v>0.89930555555555558</v>
      </c>
      <c r="E495" s="243">
        <f t="shared" si="21"/>
        <v>2.430555555555558E-2</v>
      </c>
      <c r="F495" s="196" t="s">
        <v>1054</v>
      </c>
      <c r="G495" s="143" t="s">
        <v>1382</v>
      </c>
      <c r="H495" s="196"/>
    </row>
    <row r="496" spans="1:8" x14ac:dyDescent="0.3">
      <c r="A496" s="242" t="s">
        <v>1371</v>
      </c>
      <c r="B496" s="196" t="s">
        <v>59</v>
      </c>
      <c r="C496" s="243">
        <v>0.89930555555555558</v>
      </c>
      <c r="D496" s="243">
        <v>0.90625</v>
      </c>
      <c r="E496" s="243">
        <f t="shared" si="21"/>
        <v>6.9444444444444198E-3</v>
      </c>
      <c r="F496" s="196" t="s">
        <v>1054</v>
      </c>
      <c r="G496" s="143" t="s">
        <v>1383</v>
      </c>
      <c r="H496" s="196"/>
    </row>
    <row r="497" spans="1:8" x14ac:dyDescent="0.3">
      <c r="A497" s="242" t="s">
        <v>1371</v>
      </c>
      <c r="B497" s="196" t="s">
        <v>59</v>
      </c>
      <c r="C497" s="243">
        <v>0.90625</v>
      </c>
      <c r="D497" s="243">
        <v>0.90972222222222221</v>
      </c>
      <c r="E497" s="243">
        <f t="shared" si="21"/>
        <v>3.4722222222222099E-3</v>
      </c>
      <c r="F497" s="196" t="s">
        <v>1054</v>
      </c>
      <c r="G497" s="143" t="s">
        <v>1361</v>
      </c>
      <c r="H497" s="196"/>
    </row>
    <row r="498" spans="1:8" x14ac:dyDescent="0.3">
      <c r="A498" s="242" t="s">
        <v>1371</v>
      </c>
      <c r="B498" s="196" t="s">
        <v>59</v>
      </c>
      <c r="C498" s="243">
        <v>0.90972222222222221</v>
      </c>
      <c r="D498" s="243">
        <v>0.92013888888888884</v>
      </c>
      <c r="E498" s="243">
        <f t="shared" si="21"/>
        <v>1.041666666666663E-2</v>
      </c>
      <c r="F498" s="196" t="s">
        <v>1054</v>
      </c>
      <c r="G498" s="230" t="s">
        <v>1377</v>
      </c>
      <c r="H498" s="225"/>
    </row>
    <row r="499" spans="1:8" x14ac:dyDescent="0.3">
      <c r="A499" s="242" t="s">
        <v>1371</v>
      </c>
      <c r="B499" s="196" t="s">
        <v>59</v>
      </c>
      <c r="C499" s="243">
        <v>0.92013888888888884</v>
      </c>
      <c r="D499" s="243">
        <v>0.92708333333333337</v>
      </c>
      <c r="E499" s="243">
        <f t="shared" si="21"/>
        <v>6.9444444444445308E-3</v>
      </c>
      <c r="F499" s="196" t="s">
        <v>1054</v>
      </c>
      <c r="G499" s="143" t="s">
        <v>1384</v>
      </c>
      <c r="H499" s="196"/>
    </row>
    <row r="500" spans="1:8" x14ac:dyDescent="0.3">
      <c r="A500" s="242" t="s">
        <v>1371</v>
      </c>
      <c r="B500" s="196" t="s">
        <v>59</v>
      </c>
      <c r="C500" s="243">
        <v>0.92708333333333337</v>
      </c>
      <c r="D500" s="243">
        <v>0.94097222222222221</v>
      </c>
      <c r="E500" s="243">
        <f t="shared" si="21"/>
        <v>1.388888888888884E-2</v>
      </c>
      <c r="F500" s="196" t="s">
        <v>1054</v>
      </c>
      <c r="G500" s="143" t="s">
        <v>1385</v>
      </c>
      <c r="H500" s="196"/>
    </row>
    <row r="501" spans="1:8" x14ac:dyDescent="0.3">
      <c r="A501" s="242" t="s">
        <v>1371</v>
      </c>
      <c r="B501" s="196" t="s">
        <v>59</v>
      </c>
      <c r="C501" s="243">
        <v>0.94097222222222221</v>
      </c>
      <c r="D501" s="243">
        <v>0.94444444444444442</v>
      </c>
      <c r="E501" s="243">
        <f t="shared" si="21"/>
        <v>3.4722222222222099E-3</v>
      </c>
      <c r="F501" s="196" t="s">
        <v>1054</v>
      </c>
      <c r="G501" s="143" t="s">
        <v>1308</v>
      </c>
      <c r="H501" s="225"/>
    </row>
    <row r="502" spans="1:8" x14ac:dyDescent="0.3">
      <c r="A502" s="242" t="s">
        <v>1386</v>
      </c>
      <c r="B502" s="196" t="s">
        <v>59</v>
      </c>
      <c r="C502" s="243">
        <v>0.94444444444444442</v>
      </c>
      <c r="D502" s="243">
        <v>0.96875</v>
      </c>
      <c r="E502" s="243">
        <f t="shared" si="21"/>
        <v>2.430555555555558E-2</v>
      </c>
      <c r="F502" s="196" t="s">
        <v>1054</v>
      </c>
      <c r="G502" s="143" t="s">
        <v>1369</v>
      </c>
      <c r="H502" s="225"/>
    </row>
    <row r="503" spans="1:8" x14ac:dyDescent="0.3">
      <c r="A503" s="242" t="s">
        <v>1387</v>
      </c>
      <c r="B503" s="196" t="s">
        <v>59</v>
      </c>
      <c r="C503" s="243">
        <v>0.96875</v>
      </c>
      <c r="D503" s="243">
        <v>4.1666666666666664E-2</v>
      </c>
      <c r="E503" s="243">
        <v>7.2916666666666671E-2</v>
      </c>
      <c r="F503" s="196" t="s">
        <v>1054</v>
      </c>
      <c r="G503" s="143" t="s">
        <v>1388</v>
      </c>
      <c r="H503" s="225"/>
    </row>
    <row r="506" spans="1:8" x14ac:dyDescent="0.3">
      <c r="A506" s="256"/>
      <c r="B506" s="256"/>
      <c r="C506" s="256"/>
      <c r="D506" s="256"/>
      <c r="E506" s="256"/>
      <c r="F506" s="256"/>
      <c r="G506" s="256"/>
      <c r="H506" s="256"/>
    </row>
    <row r="507" spans="1:8" x14ac:dyDescent="0.3">
      <c r="A507" s="192" t="s">
        <v>1</v>
      </c>
      <c r="B507" s="192" t="s">
        <v>2</v>
      </c>
      <c r="C507" s="192" t="s">
        <v>3</v>
      </c>
      <c r="D507" s="192"/>
      <c r="E507" s="192" t="s">
        <v>4</v>
      </c>
      <c r="F507" s="192" t="s">
        <v>5</v>
      </c>
      <c r="G507" s="192" t="s">
        <v>6</v>
      </c>
      <c r="H507" s="192" t="s">
        <v>7</v>
      </c>
    </row>
    <row r="508" spans="1:8" x14ac:dyDescent="0.3">
      <c r="A508" s="192"/>
      <c r="B508" s="192"/>
      <c r="C508" s="196" t="s">
        <v>9</v>
      </c>
      <c r="D508" s="196" t="s">
        <v>10</v>
      </c>
      <c r="E508" s="192"/>
      <c r="F508" s="192"/>
      <c r="G508" s="192"/>
      <c r="H508" s="192"/>
    </row>
    <row r="509" spans="1:8" x14ac:dyDescent="0.3">
      <c r="A509" s="242" t="s">
        <v>1389</v>
      </c>
      <c r="B509" s="196" t="s">
        <v>88</v>
      </c>
      <c r="C509" s="243">
        <v>0.58333333333333337</v>
      </c>
      <c r="D509" s="243">
        <v>0.59375</v>
      </c>
      <c r="E509" s="243">
        <f>D509-C509</f>
        <v>1.041666666666663E-2</v>
      </c>
      <c r="F509" s="196" t="s">
        <v>1054</v>
      </c>
      <c r="G509" s="143" t="s">
        <v>1340</v>
      </c>
      <c r="H509" s="196"/>
    </row>
    <row r="510" spans="1:8" x14ac:dyDescent="0.3">
      <c r="A510" s="242" t="s">
        <v>1389</v>
      </c>
      <c r="B510" s="196" t="s">
        <v>88</v>
      </c>
      <c r="C510" s="243">
        <v>0.59375</v>
      </c>
      <c r="D510" s="243">
        <v>0.60763888888888884</v>
      </c>
      <c r="E510" s="243">
        <f t="shared" ref="E510:E534" si="22">D510-C510</f>
        <v>1.388888888888884E-2</v>
      </c>
      <c r="F510" s="196" t="s">
        <v>1054</v>
      </c>
      <c r="G510" s="143" t="s">
        <v>1390</v>
      </c>
      <c r="H510" s="196"/>
    </row>
    <row r="511" spans="1:8" x14ac:dyDescent="0.3">
      <c r="A511" s="242" t="s">
        <v>1389</v>
      </c>
      <c r="B511" s="196" t="s">
        <v>88</v>
      </c>
      <c r="C511" s="243">
        <v>0.60763888888888884</v>
      </c>
      <c r="D511" s="243">
        <v>0.61805555555555558</v>
      </c>
      <c r="E511" s="243">
        <f t="shared" si="22"/>
        <v>1.0416666666666741E-2</v>
      </c>
      <c r="F511" s="196" t="s">
        <v>1054</v>
      </c>
      <c r="G511" s="143" t="s">
        <v>1391</v>
      </c>
      <c r="H511" s="196"/>
    </row>
    <row r="512" spans="1:8" x14ac:dyDescent="0.3">
      <c r="A512" s="242" t="s">
        <v>1389</v>
      </c>
      <c r="B512" s="196" t="s">
        <v>88</v>
      </c>
      <c r="C512" s="243">
        <v>0.61805555555555558</v>
      </c>
      <c r="D512" s="243">
        <v>0.625</v>
      </c>
      <c r="E512" s="243">
        <f t="shared" si="22"/>
        <v>6.9444444444444198E-3</v>
      </c>
      <c r="F512" s="196" t="s">
        <v>1054</v>
      </c>
      <c r="G512" s="143" t="s">
        <v>1392</v>
      </c>
      <c r="H512" s="196"/>
    </row>
    <row r="513" spans="1:8" x14ac:dyDescent="0.3">
      <c r="A513" s="242" t="s">
        <v>1389</v>
      </c>
      <c r="B513" s="196" t="s">
        <v>88</v>
      </c>
      <c r="C513" s="243">
        <v>0.625</v>
      </c>
      <c r="D513" s="243">
        <v>0.70833333333333337</v>
      </c>
      <c r="E513" s="243">
        <f t="shared" si="22"/>
        <v>8.333333333333337E-2</v>
      </c>
      <c r="F513" s="196" t="s">
        <v>1054</v>
      </c>
      <c r="G513" s="143" t="s">
        <v>1393</v>
      </c>
      <c r="H513" s="196"/>
    </row>
    <row r="514" spans="1:8" x14ac:dyDescent="0.3">
      <c r="A514" s="242" t="s">
        <v>1389</v>
      </c>
      <c r="B514" s="196" t="s">
        <v>88</v>
      </c>
      <c r="C514" s="243">
        <v>0.70833333333333337</v>
      </c>
      <c r="D514" s="243">
        <v>0.71875</v>
      </c>
      <c r="E514" s="243">
        <f t="shared" si="22"/>
        <v>1.041666666666663E-2</v>
      </c>
      <c r="F514" s="196" t="s">
        <v>1054</v>
      </c>
      <c r="G514" s="143" t="s">
        <v>1394</v>
      </c>
      <c r="H514" s="196"/>
    </row>
    <row r="515" spans="1:8" x14ac:dyDescent="0.3">
      <c r="A515" s="242" t="s">
        <v>1389</v>
      </c>
      <c r="B515" s="196" t="s">
        <v>88</v>
      </c>
      <c r="C515" s="243">
        <v>0.71875</v>
      </c>
      <c r="D515" s="243">
        <v>0.72222222222222221</v>
      </c>
      <c r="E515" s="243">
        <f t="shared" si="22"/>
        <v>3.4722222222222099E-3</v>
      </c>
      <c r="F515" s="196" t="s">
        <v>1054</v>
      </c>
      <c r="G515" s="143" t="s">
        <v>1361</v>
      </c>
      <c r="H515" s="196"/>
    </row>
    <row r="516" spans="1:8" x14ac:dyDescent="0.3">
      <c r="A516" s="242" t="s">
        <v>1389</v>
      </c>
      <c r="B516" s="196" t="s">
        <v>88</v>
      </c>
      <c r="C516" s="243">
        <v>0.72222222222222221</v>
      </c>
      <c r="D516" s="243">
        <v>0.73263888888888884</v>
      </c>
      <c r="E516" s="243">
        <f t="shared" si="22"/>
        <v>1.041666666666663E-2</v>
      </c>
      <c r="F516" s="196" t="s">
        <v>1054</v>
      </c>
      <c r="G516" s="230" t="s">
        <v>1377</v>
      </c>
      <c r="H516" s="196"/>
    </row>
    <row r="517" spans="1:8" x14ac:dyDescent="0.3">
      <c r="A517" s="242" t="s">
        <v>1389</v>
      </c>
      <c r="B517" s="196" t="s">
        <v>88</v>
      </c>
      <c r="C517" s="243">
        <v>0.73263888888888884</v>
      </c>
      <c r="D517" s="243">
        <v>0.75347222222222221</v>
      </c>
      <c r="E517" s="243">
        <f t="shared" si="22"/>
        <v>2.083333333333337E-2</v>
      </c>
      <c r="F517" s="196" t="s">
        <v>1054</v>
      </c>
      <c r="G517" s="143" t="s">
        <v>1395</v>
      </c>
      <c r="H517" s="196"/>
    </row>
    <row r="518" spans="1:8" x14ac:dyDescent="0.3">
      <c r="A518" s="242" t="s">
        <v>1389</v>
      </c>
      <c r="B518" s="196" t="s">
        <v>88</v>
      </c>
      <c r="C518" s="243">
        <v>0.75347222222222221</v>
      </c>
      <c r="D518" s="243">
        <v>0.79166666666666663</v>
      </c>
      <c r="E518" s="243">
        <f t="shared" si="22"/>
        <v>3.819444444444442E-2</v>
      </c>
      <c r="F518" s="196" t="s">
        <v>1054</v>
      </c>
      <c r="G518" s="230" t="s">
        <v>755</v>
      </c>
      <c r="H518" s="196"/>
    </row>
    <row r="519" spans="1:8" x14ac:dyDescent="0.3">
      <c r="A519" s="242" t="s">
        <v>1389</v>
      </c>
      <c r="B519" s="196" t="s">
        <v>88</v>
      </c>
      <c r="C519" s="243">
        <v>0.79166666666666663</v>
      </c>
      <c r="D519" s="243">
        <v>0.80555555555555558</v>
      </c>
      <c r="E519" s="243">
        <f t="shared" si="22"/>
        <v>1.3888888888888951E-2</v>
      </c>
      <c r="F519" s="196" t="s">
        <v>1054</v>
      </c>
      <c r="G519" s="143" t="s">
        <v>1396</v>
      </c>
      <c r="H519" s="196"/>
    </row>
    <row r="520" spans="1:8" x14ac:dyDescent="0.3">
      <c r="A520" s="242" t="s">
        <v>1389</v>
      </c>
      <c r="B520" s="196" t="s">
        <v>88</v>
      </c>
      <c r="C520" s="243">
        <v>0.80555555555555558</v>
      </c>
      <c r="D520" s="243">
        <v>0.8125</v>
      </c>
      <c r="E520" s="243">
        <f t="shared" si="22"/>
        <v>6.9444444444444198E-3</v>
      </c>
      <c r="F520" s="196" t="s">
        <v>1054</v>
      </c>
      <c r="G520" s="143" t="s">
        <v>1397</v>
      </c>
      <c r="H520" s="196"/>
    </row>
    <row r="521" spans="1:8" x14ac:dyDescent="0.3">
      <c r="A521" s="242" t="s">
        <v>1389</v>
      </c>
      <c r="B521" s="196" t="s">
        <v>88</v>
      </c>
      <c r="C521" s="243">
        <v>0.8125</v>
      </c>
      <c r="D521" s="257">
        <v>0.81597222222222221</v>
      </c>
      <c r="E521" s="243">
        <f t="shared" si="22"/>
        <v>3.4722222222222099E-3</v>
      </c>
      <c r="F521" s="196" t="s">
        <v>1054</v>
      </c>
      <c r="G521" s="143" t="s">
        <v>1398</v>
      </c>
      <c r="H521" s="196"/>
    </row>
    <row r="522" spans="1:8" x14ac:dyDescent="0.3">
      <c r="A522" s="242" t="s">
        <v>1389</v>
      </c>
      <c r="B522" s="196" t="s">
        <v>88</v>
      </c>
      <c r="C522" s="257">
        <v>0.81597222222222221</v>
      </c>
      <c r="D522" s="243">
        <v>0.82291666666666663</v>
      </c>
      <c r="E522" s="243">
        <f t="shared" si="22"/>
        <v>6.9444444444444198E-3</v>
      </c>
      <c r="F522" s="196" t="s">
        <v>1054</v>
      </c>
      <c r="G522" s="230" t="s">
        <v>1384</v>
      </c>
      <c r="H522" s="196"/>
    </row>
    <row r="523" spans="1:8" x14ac:dyDescent="0.3">
      <c r="A523" s="242" t="s">
        <v>1389</v>
      </c>
      <c r="B523" s="196" t="s">
        <v>88</v>
      </c>
      <c r="C523" s="243">
        <v>0.82291666666666663</v>
      </c>
      <c r="D523" s="243">
        <v>0.82986111111111116</v>
      </c>
      <c r="E523" s="243">
        <f t="shared" si="22"/>
        <v>6.9444444444445308E-3</v>
      </c>
      <c r="F523" s="196" t="s">
        <v>1054</v>
      </c>
      <c r="G523" s="143" t="s">
        <v>1333</v>
      </c>
      <c r="H523" s="196"/>
    </row>
    <row r="524" spans="1:8" x14ac:dyDescent="0.3">
      <c r="A524" s="242" t="s">
        <v>1389</v>
      </c>
      <c r="B524" s="196" t="s">
        <v>88</v>
      </c>
      <c r="C524" s="243">
        <v>0.82986111111111116</v>
      </c>
      <c r="D524" s="243">
        <v>0.84375</v>
      </c>
      <c r="E524" s="243">
        <f t="shared" si="22"/>
        <v>1.388888888888884E-2</v>
      </c>
      <c r="F524" s="196" t="s">
        <v>1054</v>
      </c>
      <c r="G524" s="143" t="s">
        <v>1399</v>
      </c>
      <c r="H524" s="196"/>
    </row>
    <row r="525" spans="1:8" x14ac:dyDescent="0.3">
      <c r="A525" s="242" t="s">
        <v>1389</v>
      </c>
      <c r="B525" s="196" t="s">
        <v>88</v>
      </c>
      <c r="C525" s="243">
        <v>0.84375</v>
      </c>
      <c r="D525" s="243">
        <v>0.85069444444444442</v>
      </c>
      <c r="E525" s="243">
        <f t="shared" si="22"/>
        <v>6.9444444444444198E-3</v>
      </c>
      <c r="F525" s="196" t="s">
        <v>1054</v>
      </c>
      <c r="G525" s="143" t="s">
        <v>1400</v>
      </c>
      <c r="H525" s="196"/>
    </row>
    <row r="526" spans="1:8" x14ac:dyDescent="0.3">
      <c r="A526" s="242" t="s">
        <v>1389</v>
      </c>
      <c r="B526" s="196" t="s">
        <v>88</v>
      </c>
      <c r="C526" s="243">
        <v>0.85069444444444442</v>
      </c>
      <c r="D526" s="243">
        <v>0.86111111111111116</v>
      </c>
      <c r="E526" s="243">
        <f t="shared" si="22"/>
        <v>1.0416666666666741E-2</v>
      </c>
      <c r="F526" s="196" t="s">
        <v>1054</v>
      </c>
      <c r="G526" s="143" t="s">
        <v>1401</v>
      </c>
      <c r="H526" s="196"/>
    </row>
    <row r="527" spans="1:8" x14ac:dyDescent="0.3">
      <c r="A527" s="242" t="s">
        <v>1389</v>
      </c>
      <c r="B527" s="196" t="s">
        <v>88</v>
      </c>
      <c r="C527" s="243">
        <v>0.86111111111111116</v>
      </c>
      <c r="D527" s="243">
        <v>0.875</v>
      </c>
      <c r="E527" s="243">
        <f t="shared" si="22"/>
        <v>1.388888888888884E-2</v>
      </c>
      <c r="F527" s="196" t="s">
        <v>1054</v>
      </c>
      <c r="G527" s="230" t="s">
        <v>1402</v>
      </c>
      <c r="H527" s="225"/>
    </row>
    <row r="528" spans="1:8" x14ac:dyDescent="0.3">
      <c r="A528" s="242" t="s">
        <v>1389</v>
      </c>
      <c r="B528" s="196" t="s">
        <v>88</v>
      </c>
      <c r="C528" s="243">
        <v>0.875</v>
      </c>
      <c r="D528" s="243">
        <v>0.89583333333333337</v>
      </c>
      <c r="E528" s="243">
        <f t="shared" si="22"/>
        <v>2.083333333333337E-2</v>
      </c>
      <c r="F528" s="196" t="s">
        <v>1054</v>
      </c>
      <c r="G528" s="143" t="s">
        <v>1399</v>
      </c>
      <c r="H528" s="196"/>
    </row>
    <row r="529" spans="1:8" x14ac:dyDescent="0.3">
      <c r="A529" s="242" t="s">
        <v>1389</v>
      </c>
      <c r="B529" s="196" t="s">
        <v>88</v>
      </c>
      <c r="C529" s="243">
        <v>0.89583333333333337</v>
      </c>
      <c r="D529" s="243">
        <v>0.90277777777777779</v>
      </c>
      <c r="E529" s="243">
        <f t="shared" si="22"/>
        <v>6.9444444444444198E-3</v>
      </c>
      <c r="F529" s="196" t="s">
        <v>1054</v>
      </c>
      <c r="G529" s="143" t="s">
        <v>520</v>
      </c>
      <c r="H529" s="196"/>
    </row>
    <row r="530" spans="1:8" x14ac:dyDescent="0.3">
      <c r="A530" s="242" t="s">
        <v>1389</v>
      </c>
      <c r="B530" s="196" t="s">
        <v>88</v>
      </c>
      <c r="C530" s="243">
        <v>0.90277777777777779</v>
      </c>
      <c r="D530" s="243">
        <v>0.91319444444444442</v>
      </c>
      <c r="E530" s="243">
        <f t="shared" si="22"/>
        <v>1.041666666666663E-2</v>
      </c>
      <c r="F530" s="196" t="s">
        <v>1054</v>
      </c>
      <c r="G530" s="143" t="s">
        <v>1399</v>
      </c>
      <c r="H530" s="225"/>
    </row>
    <row r="531" spans="1:8" x14ac:dyDescent="0.3">
      <c r="A531" s="242" t="s">
        <v>1389</v>
      </c>
      <c r="B531" s="196" t="s">
        <v>88</v>
      </c>
      <c r="C531" s="243">
        <v>0.91319444444444442</v>
      </c>
      <c r="D531" s="243">
        <v>0.92013888888888884</v>
      </c>
      <c r="E531" s="243">
        <f t="shared" si="22"/>
        <v>6.9444444444444198E-3</v>
      </c>
      <c r="F531" s="196" t="s">
        <v>1054</v>
      </c>
      <c r="G531" s="143" t="s">
        <v>1403</v>
      </c>
      <c r="H531" s="225"/>
    </row>
    <row r="532" spans="1:8" ht="26.4" x14ac:dyDescent="0.3">
      <c r="A532" s="242" t="s">
        <v>1389</v>
      </c>
      <c r="B532" s="196" t="s">
        <v>88</v>
      </c>
      <c r="C532" s="243">
        <v>0.92013888888888884</v>
      </c>
      <c r="D532" s="243">
        <v>0.94097222222222221</v>
      </c>
      <c r="E532" s="243">
        <f t="shared" si="22"/>
        <v>2.083333333333337E-2</v>
      </c>
      <c r="F532" s="196" t="s">
        <v>1054</v>
      </c>
      <c r="G532" s="143" t="s">
        <v>1404</v>
      </c>
      <c r="H532" s="225"/>
    </row>
    <row r="533" spans="1:8" x14ac:dyDescent="0.3">
      <c r="A533" s="242" t="s">
        <v>1389</v>
      </c>
      <c r="B533" s="196" t="s">
        <v>88</v>
      </c>
      <c r="C533" s="243">
        <v>0.94097222222222221</v>
      </c>
      <c r="D533" s="243">
        <v>0.94791666666666663</v>
      </c>
      <c r="E533" s="243">
        <f t="shared" si="22"/>
        <v>6.9444444444444198E-3</v>
      </c>
      <c r="F533" s="196" t="s">
        <v>1054</v>
      </c>
      <c r="G533" s="143" t="s">
        <v>1274</v>
      </c>
      <c r="H533" s="225"/>
    </row>
    <row r="534" spans="1:8" x14ac:dyDescent="0.3">
      <c r="A534" s="242" t="s">
        <v>1389</v>
      </c>
      <c r="B534" s="196" t="s">
        <v>88</v>
      </c>
      <c r="C534" s="243">
        <v>0.94791666666666663</v>
      </c>
      <c r="D534" s="243">
        <v>0.98263888888888884</v>
      </c>
      <c r="E534" s="243">
        <f t="shared" si="22"/>
        <v>3.472222222222221E-2</v>
      </c>
      <c r="F534" s="196" t="s">
        <v>1054</v>
      </c>
      <c r="G534" s="143" t="s">
        <v>1405</v>
      </c>
      <c r="H534" s="225"/>
    </row>
    <row r="535" spans="1:8" x14ac:dyDescent="0.3">
      <c r="A535" s="242" t="s">
        <v>1389</v>
      </c>
      <c r="B535" s="196" t="s">
        <v>88</v>
      </c>
      <c r="C535" s="243">
        <v>0.98263888888888884</v>
      </c>
      <c r="D535" s="243">
        <v>0</v>
      </c>
      <c r="E535" s="243">
        <v>1.7361111111111112E-2</v>
      </c>
      <c r="F535" s="196" t="s">
        <v>1054</v>
      </c>
      <c r="G535" s="143" t="s">
        <v>1369</v>
      </c>
      <c r="H535" s="225"/>
    </row>
    <row r="536" spans="1:8" x14ac:dyDescent="0.3">
      <c r="A536" s="242" t="s">
        <v>1389</v>
      </c>
      <c r="B536" s="196" t="s">
        <v>88</v>
      </c>
      <c r="C536" s="243">
        <v>0</v>
      </c>
      <c r="D536" s="243"/>
      <c r="E536" s="243">
        <f t="shared" ref="E536" si="23">D536-C536</f>
        <v>0</v>
      </c>
      <c r="F536" s="196" t="s">
        <v>1054</v>
      </c>
      <c r="G536" s="143" t="s">
        <v>1388</v>
      </c>
      <c r="H536" s="225"/>
    </row>
    <row r="538" spans="1:8" x14ac:dyDescent="0.3">
      <c r="A538" s="256"/>
      <c r="B538" s="256"/>
      <c r="C538" s="256"/>
      <c r="D538" s="256"/>
      <c r="E538" s="256"/>
      <c r="F538" s="256"/>
      <c r="G538" s="256"/>
      <c r="H538" s="256"/>
    </row>
    <row r="539" spans="1:8" x14ac:dyDescent="0.3">
      <c r="A539" s="192" t="s">
        <v>1</v>
      </c>
      <c r="B539" s="192" t="s">
        <v>2</v>
      </c>
      <c r="C539" s="192" t="s">
        <v>3</v>
      </c>
      <c r="D539" s="192"/>
      <c r="E539" s="192" t="s">
        <v>4</v>
      </c>
      <c r="F539" s="192" t="s">
        <v>5</v>
      </c>
      <c r="G539" s="192" t="s">
        <v>6</v>
      </c>
      <c r="H539" s="192" t="s">
        <v>7</v>
      </c>
    </row>
    <row r="540" spans="1:8" x14ac:dyDescent="0.3">
      <c r="A540" s="192"/>
      <c r="B540" s="192"/>
      <c r="C540" s="196" t="s">
        <v>9</v>
      </c>
      <c r="D540" s="196" t="s">
        <v>10</v>
      </c>
      <c r="E540" s="192"/>
      <c r="F540" s="192"/>
      <c r="G540" s="192"/>
      <c r="H540" s="192"/>
    </row>
    <row r="541" spans="1:8" x14ac:dyDescent="0.3">
      <c r="A541" s="242" t="s">
        <v>1406</v>
      </c>
      <c r="B541" s="196" t="s">
        <v>91</v>
      </c>
      <c r="C541" s="243">
        <v>0.58333333333333337</v>
      </c>
      <c r="D541" s="243">
        <v>0.59375</v>
      </c>
      <c r="E541" s="243">
        <f>D541-C541</f>
        <v>1.041666666666663E-2</v>
      </c>
      <c r="F541" s="196" t="s">
        <v>1054</v>
      </c>
      <c r="G541" s="143" t="s">
        <v>1340</v>
      </c>
      <c r="H541" s="196"/>
    </row>
    <row r="542" spans="1:8" x14ac:dyDescent="0.3">
      <c r="A542" s="242" t="s">
        <v>1406</v>
      </c>
      <c r="B542" s="196" t="s">
        <v>91</v>
      </c>
      <c r="C542" s="243">
        <v>0.59375</v>
      </c>
      <c r="D542" s="243">
        <v>0.60763888888888884</v>
      </c>
      <c r="E542" s="243">
        <f t="shared" ref="E542:E552" si="24">D542-C542</f>
        <v>1.388888888888884E-2</v>
      </c>
      <c r="F542" s="196" t="s">
        <v>1054</v>
      </c>
      <c r="G542" s="143" t="s">
        <v>1407</v>
      </c>
      <c r="H542" s="196"/>
    </row>
    <row r="543" spans="1:8" x14ac:dyDescent="0.3">
      <c r="A543" s="242" t="s">
        <v>1406</v>
      </c>
      <c r="B543" s="196" t="s">
        <v>91</v>
      </c>
      <c r="C543" s="243">
        <v>0.60763888888888884</v>
      </c>
      <c r="D543" s="243">
        <v>0.63541666666666663</v>
      </c>
      <c r="E543" s="243">
        <f t="shared" si="24"/>
        <v>2.777777777777779E-2</v>
      </c>
      <c r="F543" s="196" t="s">
        <v>1054</v>
      </c>
      <c r="G543" s="143" t="s">
        <v>1408</v>
      </c>
      <c r="H543" s="196"/>
    </row>
    <row r="544" spans="1:8" x14ac:dyDescent="0.3">
      <c r="A544" s="242" t="s">
        <v>1406</v>
      </c>
      <c r="B544" s="196" t="s">
        <v>91</v>
      </c>
      <c r="C544" s="243">
        <v>0.63541666666666663</v>
      </c>
      <c r="D544" s="243">
        <v>0.67708333333333337</v>
      </c>
      <c r="E544" s="243">
        <f t="shared" si="24"/>
        <v>4.1666666666666741E-2</v>
      </c>
      <c r="F544" s="196" t="s">
        <v>1054</v>
      </c>
      <c r="G544" s="143" t="s">
        <v>1409</v>
      </c>
      <c r="H544" s="196"/>
    </row>
    <row r="545" spans="1:8" x14ac:dyDescent="0.3">
      <c r="A545" s="242" t="s">
        <v>1406</v>
      </c>
      <c r="B545" s="196" t="s">
        <v>91</v>
      </c>
      <c r="C545" s="243">
        <v>0.67708333333333337</v>
      </c>
      <c r="D545" s="243">
        <v>0.68402777777777779</v>
      </c>
      <c r="E545" s="243">
        <f t="shared" si="24"/>
        <v>6.9444444444444198E-3</v>
      </c>
      <c r="F545" s="196" t="s">
        <v>1054</v>
      </c>
      <c r="G545" s="143" t="s">
        <v>1194</v>
      </c>
      <c r="H545" s="196"/>
    </row>
    <row r="546" spans="1:8" x14ac:dyDescent="0.3">
      <c r="A546" s="242" t="s">
        <v>1406</v>
      </c>
      <c r="B546" s="196" t="s">
        <v>91</v>
      </c>
      <c r="C546" s="243">
        <v>0.68402777777777779</v>
      </c>
      <c r="D546" s="243">
        <v>0.69444444444444442</v>
      </c>
      <c r="E546" s="243">
        <f>D546-C546</f>
        <v>1.041666666666663E-2</v>
      </c>
      <c r="F546" s="196" t="s">
        <v>1054</v>
      </c>
      <c r="G546" s="143" t="s">
        <v>1410</v>
      </c>
      <c r="H546" s="196"/>
    </row>
    <row r="547" spans="1:8" x14ac:dyDescent="0.3">
      <c r="A547" s="242" t="s">
        <v>1406</v>
      </c>
      <c r="B547" s="196" t="s">
        <v>91</v>
      </c>
      <c r="C547" s="243">
        <v>0.69444444444444442</v>
      </c>
      <c r="D547" s="243">
        <v>0.77083333333333337</v>
      </c>
      <c r="E547" s="243">
        <f t="shared" si="24"/>
        <v>7.6388888888888951E-2</v>
      </c>
      <c r="F547" s="196" t="s">
        <v>1054</v>
      </c>
      <c r="G547" s="143" t="s">
        <v>1411</v>
      </c>
      <c r="H547" s="196"/>
    </row>
    <row r="548" spans="1:8" x14ac:dyDescent="0.3">
      <c r="A548" s="242" t="s">
        <v>1406</v>
      </c>
      <c r="B548" s="196" t="s">
        <v>91</v>
      </c>
      <c r="C548" s="243">
        <v>0.77083333333333337</v>
      </c>
      <c r="D548" s="243">
        <v>0.80208333333333337</v>
      </c>
      <c r="E548" s="243">
        <f t="shared" si="24"/>
        <v>3.125E-2</v>
      </c>
      <c r="F548" s="196" t="s">
        <v>1054</v>
      </c>
      <c r="G548" s="143" t="s">
        <v>755</v>
      </c>
      <c r="H548" s="196"/>
    </row>
    <row r="549" spans="1:8" x14ac:dyDescent="0.3">
      <c r="A549" s="242" t="s">
        <v>1406</v>
      </c>
      <c r="B549" s="196" t="s">
        <v>91</v>
      </c>
      <c r="C549" s="243">
        <v>0.80208333333333337</v>
      </c>
      <c r="D549" s="243">
        <v>0.95833333333333337</v>
      </c>
      <c r="E549" s="243">
        <f t="shared" si="24"/>
        <v>0.15625</v>
      </c>
      <c r="F549" s="196" t="s">
        <v>1054</v>
      </c>
      <c r="G549" s="230" t="s">
        <v>1412</v>
      </c>
      <c r="H549" s="196"/>
    </row>
    <row r="550" spans="1:8" x14ac:dyDescent="0.3">
      <c r="A550" s="242" t="s">
        <v>1406</v>
      </c>
      <c r="B550" s="196" t="s">
        <v>91</v>
      </c>
      <c r="C550" s="243">
        <v>0.95833333333333337</v>
      </c>
      <c r="D550" s="243">
        <v>0.96875</v>
      </c>
      <c r="E550" s="243">
        <f t="shared" si="24"/>
        <v>1.041666666666663E-2</v>
      </c>
      <c r="F550" s="196" t="s">
        <v>1054</v>
      </c>
      <c r="G550" s="143" t="s">
        <v>1413</v>
      </c>
      <c r="H550" s="196"/>
    </row>
    <row r="551" spans="1:8" x14ac:dyDescent="0.3">
      <c r="A551" s="242" t="s">
        <v>1406</v>
      </c>
      <c r="B551" s="196" t="s">
        <v>91</v>
      </c>
      <c r="C551" s="243">
        <v>0.96875</v>
      </c>
      <c r="D551" s="243">
        <v>0.97222222222222221</v>
      </c>
      <c r="E551" s="243">
        <f t="shared" si="24"/>
        <v>3.4722222222222099E-3</v>
      </c>
      <c r="F551" s="196" t="s">
        <v>1054</v>
      </c>
      <c r="G551" s="143" t="s">
        <v>1274</v>
      </c>
      <c r="H551" s="196"/>
    </row>
    <row r="552" spans="1:8" x14ac:dyDescent="0.3">
      <c r="A552" s="242" t="s">
        <v>1406</v>
      </c>
      <c r="B552" s="196" t="s">
        <v>91</v>
      </c>
      <c r="C552" s="243">
        <v>0.97222222222222221</v>
      </c>
      <c r="D552" s="243">
        <v>0.98958333333333337</v>
      </c>
      <c r="E552" s="243">
        <f t="shared" si="24"/>
        <v>1.736111111111116E-2</v>
      </c>
      <c r="F552" s="196" t="s">
        <v>1054</v>
      </c>
      <c r="G552" s="143" t="s">
        <v>1369</v>
      </c>
      <c r="H552" s="196"/>
    </row>
    <row r="553" spans="1:8" x14ac:dyDescent="0.3">
      <c r="A553" s="242" t="s">
        <v>1406</v>
      </c>
      <c r="B553" s="196" t="s">
        <v>91</v>
      </c>
      <c r="C553" s="243">
        <v>0.98958333333333337</v>
      </c>
      <c r="D553" s="243">
        <v>6.9444444444444441E-3</v>
      </c>
      <c r="E553" s="243">
        <v>1.3888888888888888E-2</v>
      </c>
      <c r="F553" s="196" t="s">
        <v>1054</v>
      </c>
      <c r="G553" s="143" t="s">
        <v>1414</v>
      </c>
      <c r="H553" s="196"/>
    </row>
    <row r="555" spans="1:8" x14ac:dyDescent="0.3">
      <c r="A555" s="256"/>
      <c r="B555" s="256"/>
      <c r="C555" s="256"/>
      <c r="D555" s="256"/>
      <c r="E555" s="256"/>
      <c r="F555" s="256"/>
      <c r="G555" s="256"/>
      <c r="H555" s="256"/>
    </row>
    <row r="556" spans="1:8" x14ac:dyDescent="0.3">
      <c r="A556" s="192" t="s">
        <v>1</v>
      </c>
      <c r="B556" s="192" t="s">
        <v>2</v>
      </c>
      <c r="C556" s="192" t="s">
        <v>3</v>
      </c>
      <c r="D556" s="192"/>
      <c r="E556" s="192" t="s">
        <v>4</v>
      </c>
      <c r="F556" s="192" t="s">
        <v>5</v>
      </c>
      <c r="G556" s="192" t="s">
        <v>6</v>
      </c>
      <c r="H556" s="192" t="s">
        <v>7</v>
      </c>
    </row>
    <row r="557" spans="1:8" x14ac:dyDescent="0.3">
      <c r="A557" s="192"/>
      <c r="B557" s="192"/>
      <c r="C557" s="196" t="s">
        <v>9</v>
      </c>
      <c r="D557" s="196" t="s">
        <v>10</v>
      </c>
      <c r="E557" s="192"/>
      <c r="F557" s="192"/>
      <c r="G557" s="192"/>
      <c r="H557" s="192"/>
    </row>
    <row r="558" spans="1:8" x14ac:dyDescent="0.3">
      <c r="A558" s="242" t="s">
        <v>1415</v>
      </c>
      <c r="B558" s="196" t="s">
        <v>93</v>
      </c>
      <c r="C558" s="243">
        <v>0.58333333333333337</v>
      </c>
      <c r="D558" s="243">
        <v>0.59375</v>
      </c>
      <c r="E558" s="243">
        <f>D558-C558</f>
        <v>1.041666666666663E-2</v>
      </c>
      <c r="F558" s="196" t="s">
        <v>1054</v>
      </c>
      <c r="G558" s="143" t="s">
        <v>1340</v>
      </c>
      <c r="H558" s="196"/>
    </row>
    <row r="559" spans="1:8" x14ac:dyDescent="0.3">
      <c r="A559" s="242" t="s">
        <v>1416</v>
      </c>
      <c r="B559" s="196" t="s">
        <v>93</v>
      </c>
      <c r="C559" s="243">
        <v>0.59375</v>
      </c>
      <c r="D559" s="243">
        <v>0.60416666666666663</v>
      </c>
      <c r="E559" s="243">
        <f t="shared" ref="E559:E562" si="25">D559-C559</f>
        <v>1.041666666666663E-2</v>
      </c>
      <c r="F559" s="196" t="s">
        <v>1054</v>
      </c>
      <c r="G559" s="143" t="s">
        <v>1417</v>
      </c>
      <c r="H559" s="196"/>
    </row>
    <row r="560" spans="1:8" x14ac:dyDescent="0.3">
      <c r="A560" s="242" t="s">
        <v>1418</v>
      </c>
      <c r="B560" s="196" t="s">
        <v>93</v>
      </c>
      <c r="C560" s="243">
        <v>0.60416666666666663</v>
      </c>
      <c r="D560" s="243">
        <v>0.63194444444444442</v>
      </c>
      <c r="E560" s="243">
        <f t="shared" si="25"/>
        <v>2.777777777777779E-2</v>
      </c>
      <c r="F560" s="196" t="s">
        <v>1054</v>
      </c>
      <c r="G560" s="143" t="s">
        <v>1419</v>
      </c>
      <c r="H560" s="196"/>
    </row>
    <row r="561" spans="1:8" x14ac:dyDescent="0.3">
      <c r="A561" s="242" t="s">
        <v>1420</v>
      </c>
      <c r="B561" s="196" t="s">
        <v>93</v>
      </c>
      <c r="C561" s="243">
        <v>0.63194444444444442</v>
      </c>
      <c r="D561" s="243">
        <v>0.63541666666666663</v>
      </c>
      <c r="E561" s="243">
        <f t="shared" si="25"/>
        <v>3.4722222222222099E-3</v>
      </c>
      <c r="F561" s="196" t="s">
        <v>1054</v>
      </c>
      <c r="G561" s="143" t="s">
        <v>1361</v>
      </c>
      <c r="H561" s="196"/>
    </row>
    <row r="562" spans="1:8" x14ac:dyDescent="0.3">
      <c r="A562" s="242" t="s">
        <v>1421</v>
      </c>
      <c r="B562" s="196" t="s">
        <v>93</v>
      </c>
      <c r="C562" s="243">
        <v>0.63541666666666663</v>
      </c>
      <c r="D562" s="243">
        <v>0.64583333333333337</v>
      </c>
      <c r="E562" s="243">
        <f t="shared" si="25"/>
        <v>1.0416666666666741E-2</v>
      </c>
      <c r="F562" s="196" t="s">
        <v>1054</v>
      </c>
      <c r="G562" s="230" t="s">
        <v>1377</v>
      </c>
      <c r="H562" s="196"/>
    </row>
    <row r="563" spans="1:8" x14ac:dyDescent="0.3">
      <c r="A563" s="242" t="s">
        <v>1422</v>
      </c>
      <c r="B563" s="196" t="s">
        <v>93</v>
      </c>
      <c r="C563" s="243">
        <v>0.64583333333333337</v>
      </c>
      <c r="D563" s="243">
        <v>0.65625</v>
      </c>
      <c r="E563" s="243">
        <f>D563-C563</f>
        <v>1.041666666666663E-2</v>
      </c>
      <c r="F563" s="196" t="s">
        <v>1054</v>
      </c>
      <c r="G563" s="143" t="s">
        <v>1394</v>
      </c>
      <c r="H563" s="196"/>
    </row>
    <row r="564" spans="1:8" x14ac:dyDescent="0.3">
      <c r="A564" s="242" t="s">
        <v>1423</v>
      </c>
      <c r="B564" s="196" t="s">
        <v>93</v>
      </c>
      <c r="C564" s="243">
        <v>0.65625</v>
      </c>
      <c r="D564" s="243">
        <v>0.70486111111111116</v>
      </c>
      <c r="E564" s="243">
        <f t="shared" ref="E564:E575" si="26">D564-C564</f>
        <v>4.861111111111116E-2</v>
      </c>
      <c r="F564" s="196" t="s">
        <v>1054</v>
      </c>
      <c r="G564" s="143" t="s">
        <v>1424</v>
      </c>
      <c r="H564" s="196"/>
    </row>
    <row r="565" spans="1:8" x14ac:dyDescent="0.3">
      <c r="A565" s="242" t="s">
        <v>1425</v>
      </c>
      <c r="B565" s="196" t="s">
        <v>93</v>
      </c>
      <c r="C565" s="243">
        <v>0.70486111111111116</v>
      </c>
      <c r="D565" s="243">
        <v>0.75</v>
      </c>
      <c r="E565" s="243">
        <f t="shared" si="26"/>
        <v>4.513888888888884E-2</v>
      </c>
      <c r="F565" s="196" t="s">
        <v>1054</v>
      </c>
      <c r="G565" s="143" t="s">
        <v>1426</v>
      </c>
      <c r="H565" s="196"/>
    </row>
    <row r="566" spans="1:8" x14ac:dyDescent="0.3">
      <c r="A566" s="242" t="s">
        <v>1427</v>
      </c>
      <c r="B566" s="196" t="s">
        <v>93</v>
      </c>
      <c r="C566" s="243">
        <v>0.75</v>
      </c>
      <c r="D566" s="243">
        <v>0.79166666666666663</v>
      </c>
      <c r="E566" s="243">
        <f t="shared" si="26"/>
        <v>4.166666666666663E-2</v>
      </c>
      <c r="F566" s="196" t="s">
        <v>1054</v>
      </c>
      <c r="G566" s="230" t="s">
        <v>755</v>
      </c>
      <c r="H566" s="196"/>
    </row>
    <row r="567" spans="1:8" x14ac:dyDescent="0.3">
      <c r="A567" s="242" t="s">
        <v>1428</v>
      </c>
      <c r="B567" s="196" t="s">
        <v>93</v>
      </c>
      <c r="C567" s="243">
        <v>0.79166666666666663</v>
      </c>
      <c r="D567" s="243">
        <v>0.875</v>
      </c>
      <c r="E567" s="243">
        <f t="shared" si="26"/>
        <v>8.333333333333337E-2</v>
      </c>
      <c r="F567" s="196" t="s">
        <v>1054</v>
      </c>
      <c r="G567" s="143" t="s">
        <v>1429</v>
      </c>
      <c r="H567" s="240"/>
    </row>
    <row r="568" spans="1:8" ht="15.75" customHeight="1" x14ac:dyDescent="0.3">
      <c r="A568" s="242" t="s">
        <v>1430</v>
      </c>
      <c r="B568" s="196" t="s">
        <v>93</v>
      </c>
      <c r="C568" s="243">
        <v>0.875</v>
      </c>
      <c r="D568" s="243">
        <v>0.89930555555555558</v>
      </c>
      <c r="E568" s="243">
        <f t="shared" si="26"/>
        <v>2.430555555555558E-2</v>
      </c>
      <c r="F568" s="196" t="s">
        <v>1054</v>
      </c>
      <c r="G568" s="203" t="s">
        <v>1431</v>
      </c>
      <c r="H568" s="196"/>
    </row>
    <row r="569" spans="1:8" x14ac:dyDescent="0.3">
      <c r="A569" s="242" t="s">
        <v>1432</v>
      </c>
      <c r="B569" s="196" t="s">
        <v>93</v>
      </c>
      <c r="C569" s="243">
        <v>0.89930555555555558</v>
      </c>
      <c r="D569" s="243">
        <v>0.90277777777777779</v>
      </c>
      <c r="E569" s="243">
        <f t="shared" si="26"/>
        <v>3.4722222222222099E-3</v>
      </c>
      <c r="F569" s="196" t="s">
        <v>1054</v>
      </c>
      <c r="G569" s="203" t="s">
        <v>1361</v>
      </c>
      <c r="H569" s="196"/>
    </row>
    <row r="570" spans="1:8" x14ac:dyDescent="0.3">
      <c r="A570" s="242" t="s">
        <v>1433</v>
      </c>
      <c r="B570" s="196" t="s">
        <v>93</v>
      </c>
      <c r="C570" s="243">
        <v>0.90277777777777779</v>
      </c>
      <c r="D570" s="243">
        <v>0.91319444444444442</v>
      </c>
      <c r="E570" s="243">
        <f t="shared" si="26"/>
        <v>1.041666666666663E-2</v>
      </c>
      <c r="F570" s="196" t="s">
        <v>1054</v>
      </c>
      <c r="G570" s="258" t="s">
        <v>1377</v>
      </c>
      <c r="H570" s="196"/>
    </row>
    <row r="571" spans="1:8" x14ac:dyDescent="0.3">
      <c r="A571" s="242" t="s">
        <v>1433</v>
      </c>
      <c r="B571" s="196" t="s">
        <v>93</v>
      </c>
      <c r="C571" s="243">
        <v>0.91319444444444442</v>
      </c>
      <c r="D571" s="243">
        <v>0.91666666666666663</v>
      </c>
      <c r="E571" s="243">
        <f t="shared" si="26"/>
        <v>3.4722222222222099E-3</v>
      </c>
      <c r="F571" s="196" t="s">
        <v>1054</v>
      </c>
      <c r="G571" s="258" t="s">
        <v>1434</v>
      </c>
      <c r="H571" s="225"/>
    </row>
    <row r="572" spans="1:8" x14ac:dyDescent="0.3">
      <c r="A572" s="242" t="s">
        <v>1433</v>
      </c>
      <c r="B572" s="196" t="s">
        <v>93</v>
      </c>
      <c r="C572" s="243">
        <v>0.91666666666666663</v>
      </c>
      <c r="D572" s="243">
        <v>0.94097222222222221</v>
      </c>
      <c r="E572" s="243">
        <f t="shared" si="26"/>
        <v>2.430555555555558E-2</v>
      </c>
      <c r="F572" s="196" t="s">
        <v>1054</v>
      </c>
      <c r="G572" s="258" t="s">
        <v>1435</v>
      </c>
      <c r="H572" s="196"/>
    </row>
    <row r="573" spans="1:8" x14ac:dyDescent="0.3">
      <c r="A573" s="242" t="s">
        <v>1433</v>
      </c>
      <c r="B573" s="196" t="s">
        <v>93</v>
      </c>
      <c r="C573" s="243">
        <v>0.94097222222222221</v>
      </c>
      <c r="D573" s="243">
        <v>0.95138888888888884</v>
      </c>
      <c r="E573" s="243">
        <f t="shared" si="26"/>
        <v>1.041666666666663E-2</v>
      </c>
      <c r="F573" s="196" t="s">
        <v>1054</v>
      </c>
      <c r="G573" s="258" t="s">
        <v>1436</v>
      </c>
      <c r="H573" s="225"/>
    </row>
    <row r="574" spans="1:8" x14ac:dyDescent="0.3">
      <c r="A574" s="242" t="s">
        <v>1433</v>
      </c>
      <c r="B574" s="196" t="s">
        <v>93</v>
      </c>
      <c r="C574" s="243">
        <v>0.95138888888888884</v>
      </c>
      <c r="D574" s="243">
        <v>0.95833333333333337</v>
      </c>
      <c r="E574" s="243">
        <f t="shared" si="26"/>
        <v>6.9444444444445308E-3</v>
      </c>
      <c r="F574" s="196" t="s">
        <v>1054</v>
      </c>
      <c r="G574" s="143" t="s">
        <v>1274</v>
      </c>
      <c r="H574" s="225"/>
    </row>
    <row r="575" spans="1:8" x14ac:dyDescent="0.3">
      <c r="A575" s="242" t="s">
        <v>1433</v>
      </c>
      <c r="B575" s="196" t="s">
        <v>93</v>
      </c>
      <c r="C575" s="243">
        <v>0.95833333333333337</v>
      </c>
      <c r="D575" s="243">
        <v>0.97916666666666663</v>
      </c>
      <c r="E575" s="243">
        <f t="shared" si="26"/>
        <v>2.0833333333333259E-2</v>
      </c>
      <c r="F575" s="196" t="s">
        <v>1054</v>
      </c>
      <c r="G575" s="143" t="s">
        <v>1369</v>
      </c>
      <c r="H575" s="225"/>
    </row>
    <row r="576" spans="1:8" x14ac:dyDescent="0.3">
      <c r="A576" s="242" t="s">
        <v>1433</v>
      </c>
      <c r="B576" s="196" t="s">
        <v>93</v>
      </c>
      <c r="C576" s="243">
        <v>0.97916666666666663</v>
      </c>
      <c r="D576" s="243">
        <v>3.472222222222222E-3</v>
      </c>
      <c r="E576" s="243">
        <v>2.4305555555555556E-2</v>
      </c>
      <c r="F576" s="196" t="s">
        <v>1054</v>
      </c>
      <c r="G576" s="143" t="s">
        <v>1437</v>
      </c>
    </row>
    <row r="578" spans="1:8" x14ac:dyDescent="0.3">
      <c r="A578" s="256"/>
      <c r="B578" s="256"/>
      <c r="C578" s="256"/>
      <c r="D578" s="256"/>
      <c r="E578" s="256"/>
      <c r="F578" s="256"/>
      <c r="G578" s="256"/>
      <c r="H578" s="256"/>
    </row>
    <row r="579" spans="1:8" x14ac:dyDescent="0.3">
      <c r="A579" s="192" t="s">
        <v>1</v>
      </c>
      <c r="B579" s="192" t="s">
        <v>2</v>
      </c>
      <c r="C579" s="192" t="s">
        <v>3</v>
      </c>
      <c r="D579" s="192"/>
      <c r="E579" s="192" t="s">
        <v>4</v>
      </c>
      <c r="F579" s="192" t="s">
        <v>5</v>
      </c>
      <c r="G579" s="192" t="s">
        <v>6</v>
      </c>
      <c r="H579" s="192" t="s">
        <v>7</v>
      </c>
    </row>
    <row r="580" spans="1:8" x14ac:dyDescent="0.3">
      <c r="A580" s="192"/>
      <c r="B580" s="192"/>
      <c r="C580" s="196" t="s">
        <v>9</v>
      </c>
      <c r="D580" s="196" t="s">
        <v>10</v>
      </c>
      <c r="E580" s="192"/>
      <c r="F580" s="192"/>
      <c r="G580" s="192"/>
      <c r="H580" s="192"/>
    </row>
    <row r="581" spans="1:8" x14ac:dyDescent="0.3">
      <c r="A581" s="242" t="s">
        <v>1438</v>
      </c>
      <c r="B581" s="196" t="s">
        <v>311</v>
      </c>
      <c r="C581" s="243">
        <v>0.58333333333333337</v>
      </c>
      <c r="D581" s="243">
        <v>0.59027777777777779</v>
      </c>
      <c r="E581" s="243">
        <f>D581-C581</f>
        <v>6.9444444444444198E-3</v>
      </c>
      <c r="F581" s="196" t="s">
        <v>1054</v>
      </c>
      <c r="G581" s="143" t="s">
        <v>1340</v>
      </c>
      <c r="H581" s="196"/>
    </row>
    <row r="582" spans="1:8" x14ac:dyDescent="0.3">
      <c r="A582" s="242" t="s">
        <v>1438</v>
      </c>
      <c r="B582" s="196" t="s">
        <v>311</v>
      </c>
      <c r="C582" s="243">
        <v>0.59027777777777779</v>
      </c>
      <c r="D582" s="243">
        <v>0.63194444444444442</v>
      </c>
      <c r="E582" s="243">
        <f t="shared" ref="E582:E585" si="27">D582-C582</f>
        <v>4.166666666666663E-2</v>
      </c>
      <c r="F582" s="196" t="s">
        <v>1054</v>
      </c>
      <c r="G582" s="143" t="s">
        <v>1439</v>
      </c>
      <c r="H582" s="196"/>
    </row>
    <row r="583" spans="1:8" x14ac:dyDescent="0.3">
      <c r="A583" s="242" t="s">
        <v>1438</v>
      </c>
      <c r="B583" s="196" t="s">
        <v>311</v>
      </c>
      <c r="C583" s="243">
        <v>0.63194444444444442</v>
      </c>
      <c r="D583" s="243">
        <v>0.6875</v>
      </c>
      <c r="E583" s="243">
        <f t="shared" si="27"/>
        <v>5.555555555555558E-2</v>
      </c>
      <c r="F583" s="196" t="s">
        <v>1054</v>
      </c>
      <c r="G583" s="143" t="s">
        <v>1440</v>
      </c>
      <c r="H583" s="196"/>
    </row>
    <row r="584" spans="1:8" x14ac:dyDescent="0.3">
      <c r="A584" s="242" t="s">
        <v>1438</v>
      </c>
      <c r="B584" s="196" t="s">
        <v>311</v>
      </c>
      <c r="C584" s="243">
        <v>0.6875</v>
      </c>
      <c r="D584" s="243">
        <v>0.69097222222222221</v>
      </c>
      <c r="E584" s="243">
        <f t="shared" si="27"/>
        <v>3.4722222222222099E-3</v>
      </c>
      <c r="F584" s="196" t="s">
        <v>1054</v>
      </c>
      <c r="G584" s="143" t="s">
        <v>1361</v>
      </c>
      <c r="H584" s="196"/>
    </row>
    <row r="585" spans="1:8" x14ac:dyDescent="0.3">
      <c r="A585" s="242" t="s">
        <v>1438</v>
      </c>
      <c r="B585" s="196" t="s">
        <v>311</v>
      </c>
      <c r="C585" s="243">
        <v>0.69097222222222221</v>
      </c>
      <c r="D585" s="243">
        <v>0.69791666666666663</v>
      </c>
      <c r="E585" s="243">
        <f t="shared" si="27"/>
        <v>6.9444444444444198E-3</v>
      </c>
      <c r="F585" s="196" t="s">
        <v>1054</v>
      </c>
      <c r="G585" s="230" t="s">
        <v>1377</v>
      </c>
      <c r="H585" s="196"/>
    </row>
    <row r="586" spans="1:8" x14ac:dyDescent="0.3">
      <c r="A586" s="242" t="s">
        <v>1438</v>
      </c>
      <c r="B586" s="196" t="s">
        <v>311</v>
      </c>
      <c r="C586" s="243">
        <v>0.69791666666666663</v>
      </c>
      <c r="D586" s="243">
        <v>0.75347222222222221</v>
      </c>
      <c r="E586" s="243">
        <f>D586-C586</f>
        <v>5.555555555555558E-2</v>
      </c>
      <c r="F586" s="196" t="s">
        <v>1054</v>
      </c>
      <c r="G586" s="143" t="s">
        <v>1441</v>
      </c>
      <c r="H586" s="196"/>
    </row>
    <row r="587" spans="1:8" x14ac:dyDescent="0.3">
      <c r="A587" s="242" t="s">
        <v>1438</v>
      </c>
      <c r="B587" s="196" t="s">
        <v>311</v>
      </c>
      <c r="C587" s="243">
        <v>0.75347222222222221</v>
      </c>
      <c r="D587" s="243">
        <v>0.79166666666666663</v>
      </c>
      <c r="E587" s="243">
        <f t="shared" ref="E587:E596" si="28">D587-C587</f>
        <v>3.819444444444442E-2</v>
      </c>
      <c r="F587" s="196" t="s">
        <v>1054</v>
      </c>
      <c r="G587" s="143" t="s">
        <v>755</v>
      </c>
      <c r="H587" s="196"/>
    </row>
    <row r="588" spans="1:8" x14ac:dyDescent="0.3">
      <c r="A588" s="242" t="s">
        <v>1438</v>
      </c>
      <c r="B588" s="196" t="s">
        <v>311</v>
      </c>
      <c r="C588" s="243">
        <v>0.79166666666666663</v>
      </c>
      <c r="D588" s="243">
        <v>0.83680555555555558</v>
      </c>
      <c r="E588" s="243">
        <f t="shared" si="28"/>
        <v>4.5138888888888951E-2</v>
      </c>
      <c r="F588" s="196" t="s">
        <v>1054</v>
      </c>
      <c r="G588" s="143" t="s">
        <v>1442</v>
      </c>
      <c r="H588" s="196"/>
    </row>
    <row r="589" spans="1:8" x14ac:dyDescent="0.3">
      <c r="A589" s="242" t="s">
        <v>1438</v>
      </c>
      <c r="B589" s="196" t="s">
        <v>311</v>
      </c>
      <c r="C589" s="243">
        <v>0.83680555555555558</v>
      </c>
      <c r="D589" s="243">
        <v>0.85416666666666663</v>
      </c>
      <c r="E589" s="243">
        <f t="shared" si="28"/>
        <v>1.7361111111111049E-2</v>
      </c>
      <c r="F589" s="196" t="s">
        <v>1054</v>
      </c>
      <c r="G589" s="230" t="s">
        <v>1443</v>
      </c>
      <c r="H589" s="196"/>
    </row>
    <row r="590" spans="1:8" x14ac:dyDescent="0.3">
      <c r="A590" s="242" t="s">
        <v>1438</v>
      </c>
      <c r="B590" s="196" t="s">
        <v>311</v>
      </c>
      <c r="C590" s="243">
        <v>0.85416666666666663</v>
      </c>
      <c r="D590" s="243">
        <v>0.86111111111111116</v>
      </c>
      <c r="E590" s="243">
        <f t="shared" si="28"/>
        <v>6.9444444444445308E-3</v>
      </c>
      <c r="F590" s="196" t="s">
        <v>1054</v>
      </c>
      <c r="G590" s="143" t="s">
        <v>1444</v>
      </c>
      <c r="H590" s="240"/>
    </row>
    <row r="591" spans="1:8" x14ac:dyDescent="0.3">
      <c r="A591" s="242" t="s">
        <v>1438</v>
      </c>
      <c r="B591" s="196" t="s">
        <v>311</v>
      </c>
      <c r="C591" s="243">
        <v>0.86111111111111116</v>
      </c>
      <c r="D591" s="243">
        <v>0.87152777777777779</v>
      </c>
      <c r="E591" s="243">
        <f t="shared" si="28"/>
        <v>1.041666666666663E-2</v>
      </c>
      <c r="F591" s="196" t="s">
        <v>1054</v>
      </c>
      <c r="G591" s="203" t="s">
        <v>1445</v>
      </c>
      <c r="H591" s="196"/>
    </row>
    <row r="592" spans="1:8" x14ac:dyDescent="0.3">
      <c r="A592" s="242" t="s">
        <v>1438</v>
      </c>
      <c r="B592" s="196" t="s">
        <v>311</v>
      </c>
      <c r="C592" s="243">
        <v>0.87152777777777779</v>
      </c>
      <c r="D592" s="243">
        <v>0.88194444444444442</v>
      </c>
      <c r="E592" s="243">
        <f t="shared" si="28"/>
        <v>1.041666666666663E-2</v>
      </c>
      <c r="F592" s="196" t="s">
        <v>1054</v>
      </c>
      <c r="G592" s="203" t="s">
        <v>1446</v>
      </c>
      <c r="H592" s="196"/>
    </row>
    <row r="593" spans="1:8" ht="26.4" x14ac:dyDescent="0.3">
      <c r="A593" s="242" t="s">
        <v>1438</v>
      </c>
      <c r="B593" s="196" t="s">
        <v>311</v>
      </c>
      <c r="C593" s="243">
        <v>0.88194444444444442</v>
      </c>
      <c r="D593" s="243">
        <v>0.9375</v>
      </c>
      <c r="E593" s="243">
        <f t="shared" si="28"/>
        <v>5.555555555555558E-2</v>
      </c>
      <c r="F593" s="196" t="s">
        <v>1054</v>
      </c>
      <c r="G593" s="259" t="s">
        <v>1447</v>
      </c>
      <c r="H593" s="196"/>
    </row>
    <row r="594" spans="1:8" x14ac:dyDescent="0.3">
      <c r="A594" s="242" t="s">
        <v>1438</v>
      </c>
      <c r="B594" s="196" t="s">
        <v>311</v>
      </c>
      <c r="C594" s="243">
        <v>0.9375</v>
      </c>
      <c r="D594" s="243">
        <v>0.94444444444444442</v>
      </c>
      <c r="E594" s="243">
        <f t="shared" si="28"/>
        <v>6.9444444444444198E-3</v>
      </c>
      <c r="F594" s="196" t="s">
        <v>1054</v>
      </c>
      <c r="G594" s="143" t="s">
        <v>1274</v>
      </c>
      <c r="H594" s="225"/>
    </row>
    <row r="595" spans="1:8" x14ac:dyDescent="0.3">
      <c r="A595" s="242" t="s">
        <v>1438</v>
      </c>
      <c r="B595" s="196" t="s">
        <v>311</v>
      </c>
      <c r="C595" s="243">
        <v>0.94444444444444442</v>
      </c>
      <c r="D595" s="243">
        <v>0.95833333333333337</v>
      </c>
      <c r="E595" s="243">
        <f t="shared" si="28"/>
        <v>1.3888888888888951E-2</v>
      </c>
      <c r="F595" s="196" t="s">
        <v>1054</v>
      </c>
      <c r="G595" s="143" t="s">
        <v>1448</v>
      </c>
      <c r="H595" s="196"/>
    </row>
    <row r="596" spans="1:8" x14ac:dyDescent="0.3">
      <c r="A596" s="242" t="s">
        <v>1438</v>
      </c>
      <c r="B596" s="196" t="s">
        <v>311</v>
      </c>
      <c r="C596" s="243">
        <v>0.95833333333333337</v>
      </c>
      <c r="D596" s="243">
        <v>0.97916666666666663</v>
      </c>
      <c r="E596" s="243">
        <f t="shared" si="28"/>
        <v>2.0833333333333259E-2</v>
      </c>
      <c r="F596" s="196" t="s">
        <v>1054</v>
      </c>
      <c r="G596" s="143" t="s">
        <v>1369</v>
      </c>
      <c r="H596" s="225"/>
    </row>
    <row r="598" spans="1:8" x14ac:dyDescent="0.3">
      <c r="A598" s="256"/>
      <c r="B598" s="256"/>
      <c r="C598" s="256"/>
      <c r="D598" s="256"/>
      <c r="E598" s="256"/>
      <c r="F598" s="256"/>
      <c r="G598" s="256"/>
      <c r="H598" s="256"/>
    </row>
    <row r="599" spans="1:8" x14ac:dyDescent="0.3">
      <c r="A599" s="192" t="s">
        <v>1</v>
      </c>
      <c r="B599" s="192" t="s">
        <v>2</v>
      </c>
      <c r="C599" s="192" t="s">
        <v>3</v>
      </c>
      <c r="D599" s="192"/>
      <c r="E599" s="192" t="s">
        <v>4</v>
      </c>
      <c r="F599" s="192" t="s">
        <v>5</v>
      </c>
      <c r="G599" s="192" t="s">
        <v>6</v>
      </c>
      <c r="H599" s="192" t="s">
        <v>7</v>
      </c>
    </row>
    <row r="600" spans="1:8" x14ac:dyDescent="0.3">
      <c r="A600" s="192"/>
      <c r="B600" s="192"/>
      <c r="C600" s="196" t="s">
        <v>9</v>
      </c>
      <c r="D600" s="196" t="s">
        <v>10</v>
      </c>
      <c r="E600" s="192"/>
      <c r="F600" s="192"/>
      <c r="G600" s="192"/>
      <c r="H600" s="192"/>
    </row>
    <row r="601" spans="1:8" x14ac:dyDescent="0.3">
      <c r="A601" s="242" t="s">
        <v>1449</v>
      </c>
      <c r="B601" s="196" t="s">
        <v>12</v>
      </c>
      <c r="C601" s="243">
        <v>0.25</v>
      </c>
      <c r="D601" s="243">
        <v>0.27777777777777779</v>
      </c>
      <c r="E601" s="243">
        <f>D601-C601</f>
        <v>2.777777777777779E-2</v>
      </c>
      <c r="F601" s="196" t="s">
        <v>1054</v>
      </c>
      <c r="G601" s="143" t="s">
        <v>1450</v>
      </c>
      <c r="H601" s="196"/>
    </row>
    <row r="602" spans="1:8" x14ac:dyDescent="0.3">
      <c r="A602" s="242" t="s">
        <v>1449</v>
      </c>
      <c r="B602" s="196" t="s">
        <v>12</v>
      </c>
      <c r="C602" s="243">
        <v>0.27777777777777779</v>
      </c>
      <c r="D602" s="243">
        <v>0.30208333333333331</v>
      </c>
      <c r="E602" s="243">
        <f t="shared" ref="E602:E605" si="29">D602-C602</f>
        <v>2.4305555555555525E-2</v>
      </c>
      <c r="F602" s="196" t="s">
        <v>1054</v>
      </c>
      <c r="G602" s="125" t="s">
        <v>1182</v>
      </c>
      <c r="H602" s="196"/>
    </row>
    <row r="603" spans="1:8" x14ac:dyDescent="0.3">
      <c r="A603" s="242" t="s">
        <v>1449</v>
      </c>
      <c r="B603" s="196" t="s">
        <v>12</v>
      </c>
      <c r="C603" s="243">
        <v>0.30208333333333331</v>
      </c>
      <c r="D603" s="243">
        <v>0.3263888888888889</v>
      </c>
      <c r="E603" s="243">
        <f t="shared" si="29"/>
        <v>2.430555555555558E-2</v>
      </c>
      <c r="F603" s="196" t="s">
        <v>1054</v>
      </c>
      <c r="G603" s="143" t="s">
        <v>1451</v>
      </c>
      <c r="H603" s="196"/>
    </row>
    <row r="604" spans="1:8" x14ac:dyDescent="0.3">
      <c r="A604" s="242" t="s">
        <v>1449</v>
      </c>
      <c r="B604" s="196" t="s">
        <v>12</v>
      </c>
      <c r="C604" s="243">
        <v>0.3263888888888889</v>
      </c>
      <c r="D604" s="243">
        <v>0.34027777777777779</v>
      </c>
      <c r="E604" s="243">
        <f t="shared" si="29"/>
        <v>1.3888888888888895E-2</v>
      </c>
      <c r="F604" s="196" t="s">
        <v>1054</v>
      </c>
      <c r="G604" s="143" t="s">
        <v>1452</v>
      </c>
      <c r="H604" s="196"/>
    </row>
    <row r="605" spans="1:8" x14ac:dyDescent="0.3">
      <c r="A605" s="242" t="s">
        <v>1449</v>
      </c>
      <c r="B605" s="196" t="s">
        <v>12</v>
      </c>
      <c r="C605" s="243">
        <v>0.34027777777777779</v>
      </c>
      <c r="D605" s="243">
        <v>0.34375</v>
      </c>
      <c r="E605" s="243">
        <f t="shared" si="29"/>
        <v>3.4722222222222099E-3</v>
      </c>
      <c r="F605" s="196" t="s">
        <v>1054</v>
      </c>
      <c r="G605" s="230" t="s">
        <v>1453</v>
      </c>
      <c r="H605" s="196"/>
    </row>
    <row r="606" spans="1:8" x14ac:dyDescent="0.3">
      <c r="A606" s="242" t="s">
        <v>1449</v>
      </c>
      <c r="B606" s="196" t="s">
        <v>12</v>
      </c>
      <c r="C606" s="243">
        <v>0.34375</v>
      </c>
      <c r="D606" s="243">
        <v>0.35069444444444442</v>
      </c>
      <c r="E606" s="243">
        <f>D606-C606</f>
        <v>6.9444444444444198E-3</v>
      </c>
      <c r="F606" s="196" t="s">
        <v>1054</v>
      </c>
      <c r="G606" s="230" t="s">
        <v>1454</v>
      </c>
      <c r="H606" s="196"/>
    </row>
    <row r="607" spans="1:8" x14ac:dyDescent="0.3">
      <c r="A607" s="242" t="s">
        <v>1449</v>
      </c>
      <c r="B607" s="196" t="s">
        <v>12</v>
      </c>
      <c r="C607" s="243">
        <v>0.35069444444444442</v>
      </c>
      <c r="D607" s="243">
        <v>0.35416666666666669</v>
      </c>
      <c r="E607" s="243">
        <f t="shared" ref="E607:E629" si="30">D607-C607</f>
        <v>3.4722222222222654E-3</v>
      </c>
      <c r="F607" s="196" t="s">
        <v>1054</v>
      </c>
      <c r="G607" s="143" t="s">
        <v>1361</v>
      </c>
      <c r="H607" s="196"/>
    </row>
    <row r="608" spans="1:8" x14ac:dyDescent="0.3">
      <c r="A608" s="242" t="s">
        <v>1449</v>
      </c>
      <c r="B608" s="196" t="s">
        <v>12</v>
      </c>
      <c r="C608" s="243">
        <v>0.35416666666666669</v>
      </c>
      <c r="D608" s="243">
        <v>0.3611111111111111</v>
      </c>
      <c r="E608" s="243">
        <f t="shared" si="30"/>
        <v>6.9444444444444198E-3</v>
      </c>
      <c r="F608" s="196" t="s">
        <v>1054</v>
      </c>
      <c r="G608" s="230" t="s">
        <v>1377</v>
      </c>
      <c r="H608" s="196"/>
    </row>
    <row r="609" spans="1:8" x14ac:dyDescent="0.3">
      <c r="A609" s="242" t="s">
        <v>1449</v>
      </c>
      <c r="B609" s="196" t="s">
        <v>12</v>
      </c>
      <c r="C609" s="243">
        <v>0.3611111111111111</v>
      </c>
      <c r="D609" s="243">
        <v>0.38541666666666669</v>
      </c>
      <c r="E609" s="243">
        <f t="shared" si="30"/>
        <v>2.430555555555558E-2</v>
      </c>
      <c r="F609" s="196" t="s">
        <v>1054</v>
      </c>
      <c r="G609" s="230" t="s">
        <v>1455</v>
      </c>
      <c r="H609" s="196"/>
    </row>
    <row r="610" spans="1:8" x14ac:dyDescent="0.3">
      <c r="A610" s="242" t="s">
        <v>1449</v>
      </c>
      <c r="B610" s="196" t="s">
        <v>12</v>
      </c>
      <c r="C610" s="243">
        <v>0.38541666666666669</v>
      </c>
      <c r="D610" s="243">
        <v>0.40277777777777779</v>
      </c>
      <c r="E610" s="243">
        <f t="shared" si="30"/>
        <v>1.7361111111111105E-2</v>
      </c>
      <c r="F610" s="196" t="s">
        <v>1054</v>
      </c>
      <c r="G610" s="143" t="s">
        <v>1456</v>
      </c>
      <c r="H610" s="240"/>
    </row>
    <row r="611" spans="1:8" x14ac:dyDescent="0.3">
      <c r="A611" s="242" t="s">
        <v>1449</v>
      </c>
      <c r="B611" s="196" t="s">
        <v>12</v>
      </c>
      <c r="C611" s="243">
        <v>0.40277777777777779</v>
      </c>
      <c r="D611" s="243">
        <v>0.41666666666666669</v>
      </c>
      <c r="E611" s="243">
        <f t="shared" si="30"/>
        <v>1.3888888888888895E-2</v>
      </c>
      <c r="F611" s="196" t="s">
        <v>1054</v>
      </c>
      <c r="G611" s="203" t="s">
        <v>1457</v>
      </c>
      <c r="H611" s="196"/>
    </row>
    <row r="612" spans="1:8" x14ac:dyDescent="0.3">
      <c r="A612" s="242" t="s">
        <v>1449</v>
      </c>
      <c r="B612" s="196" t="s">
        <v>12</v>
      </c>
      <c r="C612" s="243">
        <v>0.41666666666666669</v>
      </c>
      <c r="D612" s="243">
        <v>0.42708333333333331</v>
      </c>
      <c r="E612" s="243">
        <f t="shared" si="30"/>
        <v>1.041666666666663E-2</v>
      </c>
      <c r="F612" s="196" t="s">
        <v>1054</v>
      </c>
      <c r="G612" s="203" t="s">
        <v>225</v>
      </c>
      <c r="H612" s="196"/>
    </row>
    <row r="613" spans="1:8" x14ac:dyDescent="0.3">
      <c r="A613" s="242" t="s">
        <v>1449</v>
      </c>
      <c r="B613" s="196" t="s">
        <v>12</v>
      </c>
      <c r="C613" s="243">
        <v>0.42708333333333331</v>
      </c>
      <c r="D613" s="243">
        <v>0.43402777777777779</v>
      </c>
      <c r="E613" s="243">
        <f t="shared" si="30"/>
        <v>6.9444444444444753E-3</v>
      </c>
      <c r="F613" s="196" t="s">
        <v>1054</v>
      </c>
      <c r="G613" s="259" t="s">
        <v>1458</v>
      </c>
      <c r="H613" s="196"/>
    </row>
    <row r="614" spans="1:8" x14ac:dyDescent="0.3">
      <c r="A614" s="242" t="s">
        <v>1449</v>
      </c>
      <c r="B614" s="196" t="s">
        <v>12</v>
      </c>
      <c r="C614" s="243">
        <v>0.43402777777777779</v>
      </c>
      <c r="D614" s="243">
        <v>0.44097222222222221</v>
      </c>
      <c r="E614" s="243">
        <f t="shared" si="30"/>
        <v>6.9444444444444198E-3</v>
      </c>
      <c r="F614" s="196" t="s">
        <v>1054</v>
      </c>
      <c r="G614" s="143" t="s">
        <v>1459</v>
      </c>
      <c r="H614" s="225"/>
    </row>
    <row r="615" spans="1:8" x14ac:dyDescent="0.3">
      <c r="A615" s="242" t="s">
        <v>1449</v>
      </c>
      <c r="B615" s="196" t="s">
        <v>12</v>
      </c>
      <c r="C615" s="243">
        <v>0.44097222222222221</v>
      </c>
      <c r="D615" s="243">
        <v>0.44444444444444442</v>
      </c>
      <c r="E615" s="243">
        <f t="shared" si="30"/>
        <v>3.4722222222222099E-3</v>
      </c>
      <c r="F615" s="196" t="s">
        <v>1054</v>
      </c>
      <c r="G615" s="143" t="s">
        <v>1361</v>
      </c>
      <c r="H615" s="196"/>
    </row>
    <row r="616" spans="1:8" x14ac:dyDescent="0.3">
      <c r="A616" s="242" t="s">
        <v>1449</v>
      </c>
      <c r="B616" s="196" t="s">
        <v>12</v>
      </c>
      <c r="C616" s="243">
        <v>0.44444444444444442</v>
      </c>
      <c r="D616" s="243">
        <v>0.4548611111111111</v>
      </c>
      <c r="E616" s="243">
        <f t="shared" si="30"/>
        <v>1.0416666666666685E-2</v>
      </c>
      <c r="F616" s="196" t="s">
        <v>1054</v>
      </c>
      <c r="G616" s="230" t="s">
        <v>1377</v>
      </c>
      <c r="H616" s="225"/>
    </row>
    <row r="617" spans="1:8" x14ac:dyDescent="0.3">
      <c r="A617" s="242" t="s">
        <v>1449</v>
      </c>
      <c r="B617" s="196" t="s">
        <v>12</v>
      </c>
      <c r="C617" s="243">
        <v>0.44444444444444442</v>
      </c>
      <c r="D617" s="243">
        <v>0.48958333333333331</v>
      </c>
      <c r="E617" s="243">
        <f t="shared" si="30"/>
        <v>4.5138888888888895E-2</v>
      </c>
      <c r="F617" s="196" t="s">
        <v>1054</v>
      </c>
      <c r="G617" s="230" t="s">
        <v>1460</v>
      </c>
      <c r="H617" s="225"/>
    </row>
    <row r="618" spans="1:8" x14ac:dyDescent="0.3">
      <c r="A618" s="242" t="s">
        <v>1449</v>
      </c>
      <c r="B618" s="196" t="s">
        <v>12</v>
      </c>
      <c r="C618" s="243">
        <v>0.48958333333333331</v>
      </c>
      <c r="D618" s="243">
        <v>0.5</v>
      </c>
      <c r="E618" s="243">
        <f t="shared" si="30"/>
        <v>1.0416666666666685E-2</v>
      </c>
      <c r="F618" s="196" t="s">
        <v>1054</v>
      </c>
      <c r="G618" s="143" t="s">
        <v>1459</v>
      </c>
      <c r="H618" s="225"/>
    </row>
    <row r="619" spans="1:8" x14ac:dyDescent="0.3">
      <c r="A619" s="242" t="s">
        <v>1449</v>
      </c>
      <c r="B619" s="196" t="s">
        <v>12</v>
      </c>
      <c r="C619" s="243">
        <v>0.5</v>
      </c>
      <c r="D619" s="243">
        <v>0.54166666666666663</v>
      </c>
      <c r="E619" s="243">
        <f t="shared" si="30"/>
        <v>4.166666666666663E-2</v>
      </c>
      <c r="F619" s="196" t="s">
        <v>1054</v>
      </c>
      <c r="G619" s="230" t="s">
        <v>755</v>
      </c>
      <c r="H619" s="225"/>
    </row>
    <row r="620" spans="1:8" x14ac:dyDescent="0.3">
      <c r="A620" s="242" t="s">
        <v>1449</v>
      </c>
      <c r="B620" s="196" t="s">
        <v>12</v>
      </c>
      <c r="C620" s="243">
        <v>0.54166666666666663</v>
      </c>
      <c r="D620" s="243">
        <v>0.55208333333333337</v>
      </c>
      <c r="E620" s="243">
        <f t="shared" si="30"/>
        <v>1.0416666666666741E-2</v>
      </c>
      <c r="F620" s="196" t="s">
        <v>1054</v>
      </c>
      <c r="G620" s="230" t="s">
        <v>1461</v>
      </c>
      <c r="H620" s="225"/>
    </row>
    <row r="621" spans="1:8" x14ac:dyDescent="0.3">
      <c r="A621" s="242" t="s">
        <v>1449</v>
      </c>
      <c r="B621" s="196" t="s">
        <v>12</v>
      </c>
      <c r="C621" s="243">
        <v>0.55208333333333337</v>
      </c>
      <c r="D621" s="243">
        <v>0.55902777777777779</v>
      </c>
      <c r="E621" s="243">
        <f t="shared" si="30"/>
        <v>6.9444444444444198E-3</v>
      </c>
      <c r="F621" s="196" t="s">
        <v>1054</v>
      </c>
      <c r="G621" s="230" t="s">
        <v>1462</v>
      </c>
      <c r="H621" s="225"/>
    </row>
    <row r="622" spans="1:8" x14ac:dyDescent="0.3">
      <c r="A622" s="242" t="s">
        <v>1449</v>
      </c>
      <c r="B622" s="196" t="s">
        <v>12</v>
      </c>
      <c r="C622" s="243">
        <v>0.55902777777777779</v>
      </c>
      <c r="D622" s="243">
        <v>0.58333333333333337</v>
      </c>
      <c r="E622" s="243">
        <f t="shared" si="30"/>
        <v>2.430555555555558E-2</v>
      </c>
      <c r="F622" s="196" t="s">
        <v>1054</v>
      </c>
      <c r="G622" s="230" t="s">
        <v>1463</v>
      </c>
      <c r="H622" s="225"/>
    </row>
    <row r="623" spans="1:8" x14ac:dyDescent="0.3">
      <c r="A623" s="242" t="s">
        <v>1449</v>
      </c>
      <c r="B623" s="196" t="s">
        <v>12</v>
      </c>
      <c r="C623" s="243">
        <v>0.58333333333333337</v>
      </c>
      <c r="D623" s="243">
        <v>0.59027777777777779</v>
      </c>
      <c r="E623" s="243">
        <f t="shared" si="30"/>
        <v>6.9444444444444198E-3</v>
      </c>
      <c r="F623" s="196" t="s">
        <v>1054</v>
      </c>
      <c r="G623" s="143" t="s">
        <v>1459</v>
      </c>
      <c r="H623" s="225"/>
    </row>
    <row r="624" spans="1:8" x14ac:dyDescent="0.3">
      <c r="A624" s="242" t="s">
        <v>1449</v>
      </c>
      <c r="B624" s="196" t="s">
        <v>12</v>
      </c>
      <c r="C624" s="243">
        <v>0.59027777777777779</v>
      </c>
      <c r="D624" s="243">
        <v>0.59375</v>
      </c>
      <c r="E624" s="243">
        <f t="shared" si="30"/>
        <v>3.4722222222222099E-3</v>
      </c>
      <c r="F624" s="196" t="s">
        <v>1054</v>
      </c>
      <c r="G624" s="143" t="s">
        <v>1361</v>
      </c>
      <c r="H624" s="225"/>
    </row>
    <row r="625" spans="1:8" x14ac:dyDescent="0.3">
      <c r="A625" s="242" t="s">
        <v>1449</v>
      </c>
      <c r="B625" s="196" t="s">
        <v>12</v>
      </c>
      <c r="C625" s="243">
        <v>0.59375</v>
      </c>
      <c r="D625" s="243">
        <v>0.60069444444444442</v>
      </c>
      <c r="E625" s="243">
        <f t="shared" si="30"/>
        <v>6.9444444444444198E-3</v>
      </c>
      <c r="F625" s="196" t="s">
        <v>1054</v>
      </c>
      <c r="G625" s="230" t="s">
        <v>1377</v>
      </c>
      <c r="H625" s="225"/>
    </row>
    <row r="626" spans="1:8" x14ac:dyDescent="0.3">
      <c r="A626" s="242" t="s">
        <v>1449</v>
      </c>
      <c r="B626" s="196" t="s">
        <v>12</v>
      </c>
      <c r="C626" s="243">
        <v>0.60069444444444442</v>
      </c>
      <c r="D626" s="243">
        <v>0.60763888888888884</v>
      </c>
      <c r="E626" s="243">
        <f t="shared" si="30"/>
        <v>6.9444444444444198E-3</v>
      </c>
      <c r="F626" s="196" t="s">
        <v>1054</v>
      </c>
      <c r="G626" s="230" t="s">
        <v>1464</v>
      </c>
      <c r="H626" s="225"/>
    </row>
    <row r="627" spans="1:8" x14ac:dyDescent="0.3">
      <c r="A627" s="242" t="s">
        <v>1449</v>
      </c>
      <c r="B627" s="196" t="s">
        <v>12</v>
      </c>
      <c r="C627" s="243">
        <v>0.60763888888888884</v>
      </c>
      <c r="D627" s="243">
        <v>0.61458333333333337</v>
      </c>
      <c r="E627" s="243">
        <f t="shared" si="30"/>
        <v>6.9444444444445308E-3</v>
      </c>
      <c r="F627" s="196" t="s">
        <v>1054</v>
      </c>
      <c r="G627" s="230" t="s">
        <v>1465</v>
      </c>
      <c r="H627" s="225"/>
    </row>
    <row r="628" spans="1:8" x14ac:dyDescent="0.3">
      <c r="A628" s="242" t="s">
        <v>1449</v>
      </c>
      <c r="B628" s="196" t="s">
        <v>12</v>
      </c>
      <c r="C628" s="243">
        <v>0.61458333333333337</v>
      </c>
      <c r="D628" s="243">
        <v>0.61805555555555558</v>
      </c>
      <c r="E628" s="243">
        <f t="shared" si="30"/>
        <v>3.4722222222222099E-3</v>
      </c>
      <c r="F628" s="196" t="s">
        <v>1054</v>
      </c>
      <c r="G628" s="143" t="s">
        <v>1274</v>
      </c>
      <c r="H628" s="225"/>
    </row>
    <row r="629" spans="1:8" x14ac:dyDescent="0.3">
      <c r="A629" s="242" t="s">
        <v>1449</v>
      </c>
      <c r="B629" s="196" t="s">
        <v>12</v>
      </c>
      <c r="C629" s="243">
        <v>0.61805555555555558</v>
      </c>
      <c r="D629" s="243">
        <v>0.65277777777777779</v>
      </c>
      <c r="E629" s="243">
        <f t="shared" si="30"/>
        <v>3.472222222222221E-2</v>
      </c>
      <c r="F629" s="196" t="s">
        <v>1054</v>
      </c>
      <c r="G629" s="143" t="s">
        <v>1180</v>
      </c>
      <c r="H629" s="225"/>
    </row>
    <row r="631" spans="1:8" x14ac:dyDescent="0.3">
      <c r="A631" s="256"/>
      <c r="B631" s="256"/>
      <c r="C631" s="256"/>
      <c r="D631" s="256"/>
      <c r="E631" s="256"/>
      <c r="F631" s="256"/>
      <c r="G631" s="256"/>
      <c r="H631" s="256"/>
    </row>
    <row r="632" spans="1:8" x14ac:dyDescent="0.3">
      <c r="A632" s="192" t="s">
        <v>1</v>
      </c>
      <c r="B632" s="192" t="s">
        <v>2</v>
      </c>
      <c r="C632" s="192" t="s">
        <v>3</v>
      </c>
      <c r="D632" s="192"/>
      <c r="E632" s="192" t="s">
        <v>4</v>
      </c>
      <c r="F632" s="192" t="s">
        <v>5</v>
      </c>
      <c r="G632" s="192" t="s">
        <v>6</v>
      </c>
      <c r="H632" s="192" t="s">
        <v>7</v>
      </c>
    </row>
    <row r="633" spans="1:8" x14ac:dyDescent="0.3">
      <c r="A633" s="192"/>
      <c r="B633" s="192"/>
      <c r="C633" s="196" t="s">
        <v>9</v>
      </c>
      <c r="D633" s="196" t="s">
        <v>10</v>
      </c>
      <c r="E633" s="192"/>
      <c r="F633" s="192"/>
      <c r="G633" s="192"/>
      <c r="H633" s="192"/>
    </row>
    <row r="634" spans="1:8" x14ac:dyDescent="0.3">
      <c r="A634" s="242" t="s">
        <v>1466</v>
      </c>
      <c r="B634" s="196" t="s">
        <v>59</v>
      </c>
      <c r="C634" s="243">
        <v>0.30208333333333331</v>
      </c>
      <c r="D634" s="243">
        <v>0.3298611111111111</v>
      </c>
      <c r="E634" s="243">
        <f>D634-C634</f>
        <v>2.777777777777779E-2</v>
      </c>
      <c r="F634" s="196" t="s">
        <v>1054</v>
      </c>
      <c r="G634" s="143" t="s">
        <v>1467</v>
      </c>
      <c r="H634" s="196"/>
    </row>
    <row r="635" spans="1:8" x14ac:dyDescent="0.3">
      <c r="A635" s="242" t="s">
        <v>1466</v>
      </c>
      <c r="B635" s="196" t="s">
        <v>59</v>
      </c>
      <c r="C635" s="243">
        <v>0.3298611111111111</v>
      </c>
      <c r="D635" s="243">
        <v>0.6875</v>
      </c>
      <c r="E635" s="243">
        <f t="shared" ref="E635:E636" si="31">D635-C635</f>
        <v>0.3576388888888889</v>
      </c>
      <c r="F635" s="196" t="s">
        <v>1054</v>
      </c>
      <c r="G635" s="125" t="s">
        <v>1468</v>
      </c>
      <c r="H635" s="196"/>
    </row>
    <row r="636" spans="1:8" x14ac:dyDescent="0.3">
      <c r="A636" s="242" t="s">
        <v>1466</v>
      </c>
      <c r="B636" s="196" t="s">
        <v>59</v>
      </c>
      <c r="C636" s="243">
        <v>0.6875</v>
      </c>
      <c r="D636" s="243">
        <v>0.77083333333333337</v>
      </c>
      <c r="E636" s="243">
        <f t="shared" si="31"/>
        <v>8.333333333333337E-2</v>
      </c>
      <c r="F636" s="196" t="s">
        <v>1054</v>
      </c>
      <c r="G636" s="143" t="s">
        <v>1469</v>
      </c>
      <c r="H636" s="196"/>
    </row>
    <row r="638" spans="1:8" x14ac:dyDescent="0.3">
      <c r="A638" s="256"/>
      <c r="B638" s="256"/>
      <c r="C638" s="256"/>
      <c r="D638" s="256"/>
      <c r="E638" s="256"/>
      <c r="F638" s="256"/>
      <c r="G638" s="256"/>
      <c r="H638" s="256"/>
    </row>
    <row r="639" spans="1:8" x14ac:dyDescent="0.3">
      <c r="A639" s="192" t="s">
        <v>1</v>
      </c>
      <c r="B639" s="192" t="s">
        <v>2</v>
      </c>
      <c r="C639" s="192" t="s">
        <v>3</v>
      </c>
      <c r="D639" s="192"/>
      <c r="E639" s="192" t="s">
        <v>4</v>
      </c>
      <c r="F639" s="192" t="s">
        <v>5</v>
      </c>
      <c r="G639" s="192" t="s">
        <v>6</v>
      </c>
      <c r="H639" s="192" t="s">
        <v>7</v>
      </c>
    </row>
    <row r="640" spans="1:8" x14ac:dyDescent="0.3">
      <c r="A640" s="192"/>
      <c r="B640" s="192"/>
      <c r="C640" s="196" t="s">
        <v>9</v>
      </c>
      <c r="D640" s="196" t="s">
        <v>10</v>
      </c>
      <c r="E640" s="192"/>
      <c r="F640" s="192"/>
      <c r="G640" s="192"/>
      <c r="H640" s="192"/>
    </row>
    <row r="641" spans="1:8" x14ac:dyDescent="0.3">
      <c r="A641" s="242" t="s">
        <v>1470</v>
      </c>
      <c r="B641" s="196" t="s">
        <v>88</v>
      </c>
      <c r="C641" s="243">
        <v>0.29166666666666669</v>
      </c>
      <c r="D641" s="243">
        <v>0.77083333333333337</v>
      </c>
      <c r="E641" s="243">
        <f>D641-C641</f>
        <v>0.47916666666666669</v>
      </c>
      <c r="F641" s="196" t="s">
        <v>1054</v>
      </c>
      <c r="G641" s="143" t="s">
        <v>1471</v>
      </c>
      <c r="H641" s="196"/>
    </row>
    <row r="643" spans="1:8" x14ac:dyDescent="0.3">
      <c r="A643" s="256"/>
      <c r="B643" s="256"/>
      <c r="C643" s="256"/>
      <c r="D643" s="256"/>
      <c r="E643" s="256"/>
      <c r="F643" s="256"/>
      <c r="G643" s="256"/>
      <c r="H643" s="256"/>
    </row>
    <row r="644" spans="1:8" x14ac:dyDescent="0.3">
      <c r="A644" s="192" t="s">
        <v>1</v>
      </c>
      <c r="B644" s="192" t="s">
        <v>2</v>
      </c>
      <c r="C644" s="192" t="s">
        <v>3</v>
      </c>
      <c r="D644" s="192"/>
      <c r="E644" s="192" t="s">
        <v>4</v>
      </c>
      <c r="F644" s="192" t="s">
        <v>5</v>
      </c>
      <c r="G644" s="192" t="s">
        <v>6</v>
      </c>
      <c r="H644" s="192" t="s">
        <v>7</v>
      </c>
    </row>
    <row r="645" spans="1:8" x14ac:dyDescent="0.3">
      <c r="A645" s="192"/>
      <c r="B645" s="192"/>
      <c r="C645" s="196" t="s">
        <v>9</v>
      </c>
      <c r="D645" s="196" t="s">
        <v>10</v>
      </c>
      <c r="E645" s="192"/>
      <c r="F645" s="192"/>
      <c r="G645" s="192"/>
      <c r="H645" s="192"/>
    </row>
    <row r="646" spans="1:8" x14ac:dyDescent="0.3">
      <c r="A646" s="242" t="s">
        <v>1472</v>
      </c>
      <c r="B646" s="196" t="s">
        <v>91</v>
      </c>
      <c r="C646" s="243">
        <v>0.29166666666666669</v>
      </c>
      <c r="D646" s="243">
        <v>0.75</v>
      </c>
      <c r="E646" s="243">
        <f>D646-C646</f>
        <v>0.45833333333333331</v>
      </c>
      <c r="F646" s="196" t="s">
        <v>1054</v>
      </c>
      <c r="G646" s="143" t="s">
        <v>1471</v>
      </c>
      <c r="H646" s="196"/>
    </row>
    <row r="648" spans="1:8" x14ac:dyDescent="0.3">
      <c r="A648" s="256"/>
      <c r="B648" s="256"/>
      <c r="C648" s="256"/>
      <c r="D648" s="256"/>
      <c r="E648" s="256"/>
      <c r="F648" s="256"/>
      <c r="G648" s="256"/>
      <c r="H648" s="256"/>
    </row>
    <row r="649" spans="1:8" x14ac:dyDescent="0.3">
      <c r="A649" s="192" t="s">
        <v>1</v>
      </c>
      <c r="B649" s="192" t="s">
        <v>2</v>
      </c>
      <c r="C649" s="192" t="s">
        <v>3</v>
      </c>
      <c r="D649" s="192"/>
      <c r="E649" s="192" t="s">
        <v>4</v>
      </c>
      <c r="F649" s="192" t="s">
        <v>5</v>
      </c>
      <c r="G649" s="192" t="s">
        <v>6</v>
      </c>
      <c r="H649" s="192" t="s">
        <v>7</v>
      </c>
    </row>
    <row r="650" spans="1:8" x14ac:dyDescent="0.3">
      <c r="A650" s="192"/>
      <c r="B650" s="192"/>
      <c r="C650" s="196" t="s">
        <v>9</v>
      </c>
      <c r="D650" s="196" t="s">
        <v>10</v>
      </c>
      <c r="E650" s="192"/>
      <c r="F650" s="192"/>
      <c r="G650" s="192"/>
      <c r="H650" s="192"/>
    </row>
    <row r="651" spans="1:8" x14ac:dyDescent="0.3">
      <c r="A651" s="242">
        <v>45665</v>
      </c>
      <c r="B651" s="196" t="s">
        <v>93</v>
      </c>
      <c r="C651" s="243">
        <v>0.29166666666666669</v>
      </c>
      <c r="D651" s="243">
        <v>0.75</v>
      </c>
      <c r="E651" s="243">
        <f>D651-C651</f>
        <v>0.45833333333333331</v>
      </c>
      <c r="F651" s="196" t="s">
        <v>1054</v>
      </c>
      <c r="G651" s="143" t="s">
        <v>1471</v>
      </c>
      <c r="H651" s="196"/>
    </row>
    <row r="655" spans="1:8" x14ac:dyDescent="0.3">
      <c r="A655" s="256"/>
      <c r="B655" s="256"/>
      <c r="C655" s="256"/>
      <c r="D655" s="256"/>
      <c r="E655" s="256"/>
      <c r="F655" s="256"/>
      <c r="G655" s="256"/>
      <c r="H655" s="256"/>
    </row>
    <row r="656" spans="1:8" ht="15.6" x14ac:dyDescent="0.3">
      <c r="A656" s="260" t="s">
        <v>1</v>
      </c>
      <c r="B656" s="260" t="s">
        <v>2</v>
      </c>
      <c r="C656" s="260" t="s">
        <v>3</v>
      </c>
      <c r="D656" s="260"/>
      <c r="E656" s="260" t="s">
        <v>4</v>
      </c>
      <c r="F656" s="260" t="s">
        <v>5</v>
      </c>
      <c r="G656" s="260" t="s">
        <v>6</v>
      </c>
      <c r="H656" s="260" t="s">
        <v>7</v>
      </c>
    </row>
    <row r="657" spans="1:8" ht="15.6" x14ac:dyDescent="0.3">
      <c r="A657" s="260"/>
      <c r="B657" s="260"/>
      <c r="C657" s="261" t="s">
        <v>9</v>
      </c>
      <c r="D657" s="261" t="s">
        <v>10</v>
      </c>
      <c r="E657" s="260"/>
      <c r="F657" s="260"/>
      <c r="G657" s="260"/>
      <c r="H657" s="260"/>
    </row>
    <row r="658" spans="1:8" ht="15.6" x14ac:dyDescent="0.3">
      <c r="A658" s="262">
        <v>46282</v>
      </c>
      <c r="B658" s="261" t="s">
        <v>91</v>
      </c>
      <c r="C658" s="263">
        <v>0.30555555555555558</v>
      </c>
      <c r="D658" s="263">
        <v>0.30902777777777779</v>
      </c>
      <c r="E658" s="264">
        <f>D658-C658</f>
        <v>3.4722222222222099E-3</v>
      </c>
      <c r="F658" s="261" t="s">
        <v>1054</v>
      </c>
      <c r="G658" s="265" t="s">
        <v>1473</v>
      </c>
      <c r="H658" s="261"/>
    </row>
    <row r="659" spans="1:8" ht="15.6" x14ac:dyDescent="0.3">
      <c r="A659" s="262">
        <v>46282</v>
      </c>
      <c r="B659" s="261" t="s">
        <v>91</v>
      </c>
      <c r="C659" s="266">
        <v>0.30902777777777779</v>
      </c>
      <c r="D659" s="266">
        <v>0.3263888888888889</v>
      </c>
      <c r="E659" s="264">
        <f t="shared" ref="E659:E662" si="32">D659-C659</f>
        <v>1.7361111111111105E-2</v>
      </c>
      <c r="F659" s="261" t="s">
        <v>1054</v>
      </c>
      <c r="G659" s="267" t="s">
        <v>1474</v>
      </c>
      <c r="H659" s="261"/>
    </row>
    <row r="660" spans="1:8" ht="15.6" x14ac:dyDescent="0.3">
      <c r="A660" s="262">
        <v>46282</v>
      </c>
      <c r="B660" s="261" t="s">
        <v>91</v>
      </c>
      <c r="C660" s="266">
        <v>0.3263888888888889</v>
      </c>
      <c r="D660" s="266">
        <v>0.34027777777777779</v>
      </c>
      <c r="E660" s="264">
        <f t="shared" si="32"/>
        <v>1.3888888888888895E-2</v>
      </c>
      <c r="F660" s="261" t="s">
        <v>1054</v>
      </c>
      <c r="G660" s="267" t="s">
        <v>1475</v>
      </c>
      <c r="H660" s="261"/>
    </row>
    <row r="661" spans="1:8" ht="15.6" x14ac:dyDescent="0.3">
      <c r="A661" s="262">
        <v>46282</v>
      </c>
      <c r="B661" s="261" t="s">
        <v>91</v>
      </c>
      <c r="C661" s="266">
        <v>0.34027777777777779</v>
      </c>
      <c r="D661" s="266">
        <v>0.3611111111111111</v>
      </c>
      <c r="E661" s="264">
        <f t="shared" si="32"/>
        <v>2.0833333333333315E-2</v>
      </c>
      <c r="F661" s="261" t="s">
        <v>1054</v>
      </c>
      <c r="G661" s="267" t="s">
        <v>1476</v>
      </c>
      <c r="H661" s="261"/>
    </row>
    <row r="662" spans="1:8" ht="15.6" x14ac:dyDescent="0.3">
      <c r="A662" s="262">
        <v>46282</v>
      </c>
      <c r="B662" s="261" t="s">
        <v>91</v>
      </c>
      <c r="C662" s="266">
        <v>0.3611111111111111</v>
      </c>
      <c r="D662" s="266">
        <v>0.37152777777777779</v>
      </c>
      <c r="E662" s="264">
        <f t="shared" si="32"/>
        <v>1.0416666666666685E-2</v>
      </c>
      <c r="F662" s="261" t="s">
        <v>1054</v>
      </c>
      <c r="G662" s="267" t="s">
        <v>1477</v>
      </c>
      <c r="H662" s="261"/>
    </row>
    <row r="663" spans="1:8" ht="15.6" x14ac:dyDescent="0.3">
      <c r="A663" s="262">
        <v>46282</v>
      </c>
      <c r="B663" s="261" t="s">
        <v>91</v>
      </c>
      <c r="C663" s="266">
        <v>0.37152777777777779</v>
      </c>
      <c r="D663" s="266">
        <v>0.3888888888888889</v>
      </c>
      <c r="E663" s="264">
        <f>D663-C663</f>
        <v>1.7361111111111105E-2</v>
      </c>
      <c r="F663" s="261" t="s">
        <v>1054</v>
      </c>
      <c r="G663" s="267" t="s">
        <v>1478</v>
      </c>
      <c r="H663" s="261"/>
    </row>
    <row r="664" spans="1:8" ht="15.6" x14ac:dyDescent="0.3">
      <c r="A664" s="262">
        <v>46282</v>
      </c>
      <c r="B664" s="261" t="s">
        <v>91</v>
      </c>
      <c r="C664" s="266">
        <v>0.3888888888888889</v>
      </c>
      <c r="D664" s="266">
        <v>0.39930555555555558</v>
      </c>
      <c r="E664" s="264">
        <f t="shared" ref="E664:E685" si="33">D664-C664</f>
        <v>1.0416666666666685E-2</v>
      </c>
      <c r="F664" s="261" t="s">
        <v>1054</v>
      </c>
      <c r="G664" s="267" t="s">
        <v>1479</v>
      </c>
      <c r="H664" s="261"/>
    </row>
    <row r="665" spans="1:8" ht="15.6" x14ac:dyDescent="0.3">
      <c r="A665" s="262">
        <v>46282</v>
      </c>
      <c r="B665" s="261" t="s">
        <v>91</v>
      </c>
      <c r="C665" s="266">
        <v>0.39930555555555558</v>
      </c>
      <c r="D665" s="266">
        <v>0.40625</v>
      </c>
      <c r="E665" s="264">
        <f t="shared" si="33"/>
        <v>6.9444444444444198E-3</v>
      </c>
      <c r="F665" s="261" t="s">
        <v>1054</v>
      </c>
      <c r="G665" s="267" t="s">
        <v>1480</v>
      </c>
      <c r="H665" s="261"/>
    </row>
    <row r="666" spans="1:8" ht="15.6" x14ac:dyDescent="0.3">
      <c r="A666" s="262">
        <v>46282</v>
      </c>
      <c r="B666" s="261" t="s">
        <v>91</v>
      </c>
      <c r="C666" s="266">
        <v>0.40625</v>
      </c>
      <c r="D666" s="266">
        <v>0.41319444444444442</v>
      </c>
      <c r="E666" s="264">
        <f t="shared" si="33"/>
        <v>6.9444444444444198E-3</v>
      </c>
      <c r="F666" s="261" t="s">
        <v>1054</v>
      </c>
      <c r="G666" s="267" t="s">
        <v>1481</v>
      </c>
      <c r="H666" s="261"/>
    </row>
    <row r="667" spans="1:8" ht="15.6" x14ac:dyDescent="0.3">
      <c r="A667" s="262">
        <v>46282</v>
      </c>
      <c r="B667" s="261" t="s">
        <v>91</v>
      </c>
      <c r="C667" s="266">
        <v>0.41319444444444442</v>
      </c>
      <c r="D667" s="266">
        <v>0.42708333333333331</v>
      </c>
      <c r="E667" s="264">
        <f t="shared" si="33"/>
        <v>1.3888888888888895E-2</v>
      </c>
      <c r="F667" s="261" t="s">
        <v>1054</v>
      </c>
      <c r="G667" s="267" t="s">
        <v>1482</v>
      </c>
      <c r="H667" s="268"/>
    </row>
    <row r="668" spans="1:8" ht="15.6" x14ac:dyDescent="0.3">
      <c r="A668" s="262">
        <v>46282</v>
      </c>
      <c r="B668" s="261" t="s">
        <v>91</v>
      </c>
      <c r="C668" s="266">
        <v>0.42708333333333331</v>
      </c>
      <c r="D668" s="266">
        <v>0.4548611111111111</v>
      </c>
      <c r="E668" s="264">
        <f t="shared" si="33"/>
        <v>2.777777777777779E-2</v>
      </c>
      <c r="F668" s="261" t="s">
        <v>1054</v>
      </c>
      <c r="G668" s="267" t="s">
        <v>1483</v>
      </c>
      <c r="H668" s="261"/>
    </row>
    <row r="669" spans="1:8" ht="15.6" x14ac:dyDescent="0.3">
      <c r="A669" s="262">
        <v>46282</v>
      </c>
      <c r="B669" s="261" t="s">
        <v>91</v>
      </c>
      <c r="C669" s="266">
        <v>0.4548611111111111</v>
      </c>
      <c r="D669" s="266">
        <v>0.47222222222222221</v>
      </c>
      <c r="E669" s="264">
        <f t="shared" si="33"/>
        <v>1.7361111111111105E-2</v>
      </c>
      <c r="F669" s="261" t="s">
        <v>1054</v>
      </c>
      <c r="G669" s="267" t="s">
        <v>1484</v>
      </c>
      <c r="H669" s="261"/>
    </row>
    <row r="670" spans="1:8" ht="15.6" x14ac:dyDescent="0.3">
      <c r="A670" s="262">
        <v>46282</v>
      </c>
      <c r="B670" s="261" t="s">
        <v>91</v>
      </c>
      <c r="C670" s="266">
        <v>0.47222222222222221</v>
      </c>
      <c r="D670" s="266">
        <v>0.48958333333333331</v>
      </c>
      <c r="E670" s="264">
        <f t="shared" si="33"/>
        <v>1.7361111111111105E-2</v>
      </c>
      <c r="F670" s="261" t="s">
        <v>1054</v>
      </c>
      <c r="G670" s="267" t="s">
        <v>1485</v>
      </c>
      <c r="H670" s="261"/>
    </row>
    <row r="671" spans="1:8" ht="15.6" x14ac:dyDescent="0.3">
      <c r="A671" s="262">
        <v>46282</v>
      </c>
      <c r="B671" s="261" t="s">
        <v>91</v>
      </c>
      <c r="C671" s="266">
        <v>0.48958333333333331</v>
      </c>
      <c r="D671" s="266">
        <v>0.52430555555555558</v>
      </c>
      <c r="E671" s="264">
        <f t="shared" si="33"/>
        <v>3.4722222222222265E-2</v>
      </c>
      <c r="F671" s="261" t="s">
        <v>1054</v>
      </c>
      <c r="G671" s="267" t="s">
        <v>1486</v>
      </c>
      <c r="H671" s="269"/>
    </row>
    <row r="672" spans="1:8" ht="15.6" x14ac:dyDescent="0.3">
      <c r="A672" s="262">
        <v>46282</v>
      </c>
      <c r="B672" s="261" t="s">
        <v>91</v>
      </c>
      <c r="C672" s="266">
        <v>0.52083333333333337</v>
      </c>
      <c r="D672" s="266">
        <v>0.54861111111111116</v>
      </c>
      <c r="E672" s="264">
        <f t="shared" si="33"/>
        <v>2.777777777777779E-2</v>
      </c>
      <c r="F672" s="261" t="s">
        <v>1054</v>
      </c>
      <c r="G672" s="267" t="s">
        <v>1487</v>
      </c>
      <c r="H672" s="261"/>
    </row>
    <row r="673" spans="1:8" ht="15.6" x14ac:dyDescent="0.3">
      <c r="A673" s="262">
        <v>46282</v>
      </c>
      <c r="B673" s="261" t="s">
        <v>91</v>
      </c>
      <c r="C673" s="266">
        <v>0.54861111111111116</v>
      </c>
      <c r="D673" s="266">
        <v>0.55138888888888893</v>
      </c>
      <c r="E673" s="264">
        <f t="shared" si="33"/>
        <v>2.7777777777777679E-3</v>
      </c>
      <c r="F673" s="261" t="s">
        <v>1054</v>
      </c>
      <c r="G673" s="267" t="s">
        <v>1488</v>
      </c>
      <c r="H673" s="269"/>
    </row>
    <row r="674" spans="1:8" ht="15.6" x14ac:dyDescent="0.3">
      <c r="A674" s="262">
        <v>46282</v>
      </c>
      <c r="B674" s="261" t="s">
        <v>91</v>
      </c>
      <c r="C674" s="266">
        <v>0.55902777777777779</v>
      </c>
      <c r="D674" s="266">
        <v>0.625</v>
      </c>
      <c r="E674" s="264">
        <f t="shared" si="33"/>
        <v>6.597222222222221E-2</v>
      </c>
      <c r="F674" s="261" t="s">
        <v>1054</v>
      </c>
      <c r="G674" s="267" t="s">
        <v>1489</v>
      </c>
      <c r="H674" s="269"/>
    </row>
    <row r="675" spans="1:8" ht="15.6" x14ac:dyDescent="0.3">
      <c r="A675" s="262">
        <v>46282</v>
      </c>
      <c r="B675" s="261" t="s">
        <v>91</v>
      </c>
      <c r="C675" s="266">
        <v>0.64583333333333337</v>
      </c>
      <c r="D675" s="266">
        <v>0.66666666666666663</v>
      </c>
      <c r="E675" s="264">
        <f t="shared" si="33"/>
        <v>2.0833333333333259E-2</v>
      </c>
      <c r="F675" s="261" t="s">
        <v>1054</v>
      </c>
      <c r="G675" s="267" t="s">
        <v>1490</v>
      </c>
      <c r="H675" s="269"/>
    </row>
    <row r="676" spans="1:8" ht="15.6" x14ac:dyDescent="0.3">
      <c r="A676" s="262">
        <v>46282</v>
      </c>
      <c r="B676" s="261" t="s">
        <v>91</v>
      </c>
      <c r="C676" s="266">
        <v>0.66666666666666663</v>
      </c>
      <c r="D676" s="266">
        <v>0.67361111111111116</v>
      </c>
      <c r="E676" s="264">
        <f t="shared" si="33"/>
        <v>6.9444444444445308E-3</v>
      </c>
      <c r="F676" s="261" t="s">
        <v>1054</v>
      </c>
      <c r="G676" s="267" t="s">
        <v>1491</v>
      </c>
      <c r="H676" s="269"/>
    </row>
    <row r="677" spans="1:8" ht="15.6" x14ac:dyDescent="0.3">
      <c r="A677" s="262">
        <v>46282</v>
      </c>
      <c r="B677" s="261" t="s">
        <v>91</v>
      </c>
      <c r="C677" s="266">
        <v>0.67361111111111116</v>
      </c>
      <c r="D677" s="266">
        <v>0.68402777777777779</v>
      </c>
      <c r="E677" s="264">
        <f t="shared" si="33"/>
        <v>1.041666666666663E-2</v>
      </c>
      <c r="F677" s="261" t="s">
        <v>1054</v>
      </c>
      <c r="G677" s="267" t="s">
        <v>1492</v>
      </c>
      <c r="H677" s="269"/>
    </row>
    <row r="678" spans="1:8" ht="15.6" x14ac:dyDescent="0.3">
      <c r="A678" s="262">
        <v>46282</v>
      </c>
      <c r="B678" s="261" t="s">
        <v>91</v>
      </c>
      <c r="C678" s="266">
        <v>0.68402777777777779</v>
      </c>
      <c r="D678" s="266">
        <v>0.70833333333333337</v>
      </c>
      <c r="E678" s="264">
        <f t="shared" si="33"/>
        <v>2.430555555555558E-2</v>
      </c>
      <c r="F678" s="261" t="s">
        <v>1054</v>
      </c>
      <c r="G678" s="267" t="s">
        <v>1493</v>
      </c>
      <c r="H678" s="269"/>
    </row>
    <row r="679" spans="1:8" ht="15.6" x14ac:dyDescent="0.3">
      <c r="A679" s="262">
        <v>46282</v>
      </c>
      <c r="B679" s="261" t="s">
        <v>91</v>
      </c>
      <c r="C679" s="266">
        <v>0.70833333333333337</v>
      </c>
      <c r="D679" s="266">
        <v>0.71875</v>
      </c>
      <c r="E679" s="264">
        <f t="shared" si="33"/>
        <v>1.041666666666663E-2</v>
      </c>
      <c r="F679" s="261" t="s">
        <v>1054</v>
      </c>
      <c r="G679" s="267" t="s">
        <v>1494</v>
      </c>
      <c r="H679" s="269"/>
    </row>
    <row r="680" spans="1:8" ht="15.6" x14ac:dyDescent="0.3">
      <c r="A680" s="262">
        <v>46282</v>
      </c>
      <c r="B680" s="261" t="s">
        <v>91</v>
      </c>
      <c r="C680" s="266">
        <v>0.71875</v>
      </c>
      <c r="D680" s="266">
        <v>0.73958333333333337</v>
      </c>
      <c r="E680" s="264">
        <f t="shared" si="33"/>
        <v>2.083333333333337E-2</v>
      </c>
      <c r="F680" s="261" t="s">
        <v>1054</v>
      </c>
      <c r="G680" s="267" t="s">
        <v>1495</v>
      </c>
      <c r="H680" s="269"/>
    </row>
    <row r="681" spans="1:8" ht="15.6" x14ac:dyDescent="0.3">
      <c r="A681" s="262">
        <v>46282</v>
      </c>
      <c r="B681" s="261" t="s">
        <v>91</v>
      </c>
      <c r="C681" s="266">
        <v>0.73958333333333337</v>
      </c>
      <c r="D681" s="266">
        <v>0.76041666666666663</v>
      </c>
      <c r="E681" s="264">
        <f t="shared" si="33"/>
        <v>2.0833333333333259E-2</v>
      </c>
      <c r="F681" s="261" t="s">
        <v>1054</v>
      </c>
      <c r="G681" s="267" t="s">
        <v>1496</v>
      </c>
      <c r="H681" s="269"/>
    </row>
    <row r="682" spans="1:8" ht="15.6" x14ac:dyDescent="0.3">
      <c r="A682" s="262">
        <v>46282</v>
      </c>
      <c r="B682" s="261" t="s">
        <v>91</v>
      </c>
      <c r="C682" s="266">
        <v>0.76041666666666663</v>
      </c>
      <c r="D682" s="266">
        <v>0.79166666666666663</v>
      </c>
      <c r="E682" s="264">
        <f t="shared" si="33"/>
        <v>3.125E-2</v>
      </c>
      <c r="F682" s="261" t="s">
        <v>1054</v>
      </c>
      <c r="G682" s="267" t="s">
        <v>1497</v>
      </c>
      <c r="H682" s="269"/>
    </row>
    <row r="683" spans="1:8" ht="15.6" x14ac:dyDescent="0.3">
      <c r="A683" s="262">
        <v>46282</v>
      </c>
      <c r="B683" s="261" t="s">
        <v>91</v>
      </c>
      <c r="C683" s="266">
        <v>0.79166666666666663</v>
      </c>
      <c r="D683" s="266">
        <v>0.80208333333333337</v>
      </c>
      <c r="E683" s="264">
        <f t="shared" si="33"/>
        <v>1.0416666666666741E-2</v>
      </c>
      <c r="F683" s="261" t="s">
        <v>1054</v>
      </c>
      <c r="G683" s="267" t="s">
        <v>1498</v>
      </c>
      <c r="H683" s="269"/>
    </row>
    <row r="684" spans="1:8" ht="15.6" x14ac:dyDescent="0.3">
      <c r="A684" s="262">
        <v>46282</v>
      </c>
      <c r="B684" s="261" t="s">
        <v>91</v>
      </c>
      <c r="C684" s="266">
        <v>0.80208333333333337</v>
      </c>
      <c r="D684" s="266">
        <v>0.8125</v>
      </c>
      <c r="E684" s="264">
        <f t="shared" si="33"/>
        <v>1.041666666666663E-2</v>
      </c>
      <c r="F684" s="261" t="s">
        <v>1054</v>
      </c>
      <c r="G684" s="267" t="s">
        <v>1499</v>
      </c>
      <c r="H684" s="269"/>
    </row>
    <row r="685" spans="1:8" ht="15.6" x14ac:dyDescent="0.3">
      <c r="A685" s="262">
        <v>46282</v>
      </c>
      <c r="B685" s="261" t="s">
        <v>91</v>
      </c>
      <c r="C685" s="266">
        <v>0.8125</v>
      </c>
      <c r="D685" s="266">
        <v>0.85416666666666663</v>
      </c>
      <c r="E685" s="264">
        <f t="shared" si="33"/>
        <v>4.166666666666663E-2</v>
      </c>
      <c r="F685" s="261" t="s">
        <v>1054</v>
      </c>
      <c r="G685" s="179" t="s">
        <v>1180</v>
      </c>
      <c r="H685" s="269"/>
    </row>
    <row r="686" spans="1:8" ht="15.6" x14ac:dyDescent="0.3">
      <c r="A686" s="262"/>
      <c r="B686" s="261"/>
      <c r="C686" s="264"/>
      <c r="D686" s="264"/>
      <c r="E686" s="264"/>
      <c r="F686" s="261"/>
      <c r="G686" s="179"/>
      <c r="H686" s="269"/>
    </row>
  </sheetData>
  <mergeCells count="211">
    <mergeCell ref="H649:H650"/>
    <mergeCell ref="A656:A657"/>
    <mergeCell ref="B656:B657"/>
    <mergeCell ref="C656:D656"/>
    <mergeCell ref="E656:E657"/>
    <mergeCell ref="F656:F657"/>
    <mergeCell ref="G656:G657"/>
    <mergeCell ref="H656:H657"/>
    <mergeCell ref="A649:A650"/>
    <mergeCell ref="B649:B650"/>
    <mergeCell ref="C649:D649"/>
    <mergeCell ref="E649:E650"/>
    <mergeCell ref="F649:F650"/>
    <mergeCell ref="G649:G650"/>
    <mergeCell ref="H639:H640"/>
    <mergeCell ref="A644:A645"/>
    <mergeCell ref="B644:B645"/>
    <mergeCell ref="C644:D644"/>
    <mergeCell ref="E644:E645"/>
    <mergeCell ref="F644:F645"/>
    <mergeCell ref="G644:G645"/>
    <mergeCell ref="H644:H645"/>
    <mergeCell ref="A639:A640"/>
    <mergeCell ref="B639:B640"/>
    <mergeCell ref="C639:D639"/>
    <mergeCell ref="E639:E640"/>
    <mergeCell ref="F639:F640"/>
    <mergeCell ref="G639:G640"/>
    <mergeCell ref="H599:H600"/>
    <mergeCell ref="A632:A633"/>
    <mergeCell ref="B632:B633"/>
    <mergeCell ref="C632:D632"/>
    <mergeCell ref="E632:E633"/>
    <mergeCell ref="F632:F633"/>
    <mergeCell ref="G632:G633"/>
    <mergeCell ref="H632:H633"/>
    <mergeCell ref="A599:A600"/>
    <mergeCell ref="B599:B600"/>
    <mergeCell ref="C599:D599"/>
    <mergeCell ref="E599:E600"/>
    <mergeCell ref="F599:F600"/>
    <mergeCell ref="G599:G600"/>
    <mergeCell ref="H556:H557"/>
    <mergeCell ref="A579:A580"/>
    <mergeCell ref="B579:B580"/>
    <mergeCell ref="C579:D579"/>
    <mergeCell ref="E579:E580"/>
    <mergeCell ref="F579:F580"/>
    <mergeCell ref="G579:G580"/>
    <mergeCell ref="H579:H580"/>
    <mergeCell ref="A556:A557"/>
    <mergeCell ref="B556:B557"/>
    <mergeCell ref="C556:D556"/>
    <mergeCell ref="E556:E557"/>
    <mergeCell ref="F556:F557"/>
    <mergeCell ref="G556:G557"/>
    <mergeCell ref="H507:H508"/>
    <mergeCell ref="A539:A540"/>
    <mergeCell ref="B539:B540"/>
    <mergeCell ref="C539:D539"/>
    <mergeCell ref="E539:E540"/>
    <mergeCell ref="F539:F540"/>
    <mergeCell ref="G539:G540"/>
    <mergeCell ref="H539:H540"/>
    <mergeCell ref="A507:A508"/>
    <mergeCell ref="B507:B508"/>
    <mergeCell ref="C507:D507"/>
    <mergeCell ref="E507:E508"/>
    <mergeCell ref="F507:F508"/>
    <mergeCell ref="G507:G508"/>
    <mergeCell ref="H455:H456"/>
    <mergeCell ref="A478:A479"/>
    <mergeCell ref="B478:B479"/>
    <mergeCell ref="C478:D478"/>
    <mergeCell ref="E478:E479"/>
    <mergeCell ref="F478:F479"/>
    <mergeCell ref="G478:G479"/>
    <mergeCell ref="H478:H479"/>
    <mergeCell ref="A455:A456"/>
    <mergeCell ref="B455:B456"/>
    <mergeCell ref="C455:D455"/>
    <mergeCell ref="E455:E456"/>
    <mergeCell ref="F455:F456"/>
    <mergeCell ref="G455:G456"/>
    <mergeCell ref="H391:H392"/>
    <mergeCell ref="I391:I392"/>
    <mergeCell ref="A420:A421"/>
    <mergeCell ref="B420:B421"/>
    <mergeCell ref="C420:D420"/>
    <mergeCell ref="E420:E421"/>
    <mergeCell ref="F420:F421"/>
    <mergeCell ref="G420:G421"/>
    <mergeCell ref="H420:H421"/>
    <mergeCell ref="A391:A392"/>
    <mergeCell ref="B391:B392"/>
    <mergeCell ref="C391:D391"/>
    <mergeCell ref="E391:E392"/>
    <mergeCell ref="F391:F392"/>
    <mergeCell ref="G391:G392"/>
    <mergeCell ref="H333:H334"/>
    <mergeCell ref="I333:I334"/>
    <mergeCell ref="A359:A360"/>
    <mergeCell ref="B359:B360"/>
    <mergeCell ref="C359:D359"/>
    <mergeCell ref="E359:E360"/>
    <mergeCell ref="F359:F360"/>
    <mergeCell ref="G359:G360"/>
    <mergeCell ref="H359:H360"/>
    <mergeCell ref="I359:I360"/>
    <mergeCell ref="A333:A334"/>
    <mergeCell ref="B333:B334"/>
    <mergeCell ref="C333:D333"/>
    <mergeCell ref="E333:E334"/>
    <mergeCell ref="F333:F334"/>
    <mergeCell ref="G333:G334"/>
    <mergeCell ref="H273:H274"/>
    <mergeCell ref="I273:I274"/>
    <mergeCell ref="A306:A307"/>
    <mergeCell ref="B306:B307"/>
    <mergeCell ref="C306:D306"/>
    <mergeCell ref="E306:E307"/>
    <mergeCell ref="F306:F307"/>
    <mergeCell ref="G306:G307"/>
    <mergeCell ref="H306:H307"/>
    <mergeCell ref="I306:I307"/>
    <mergeCell ref="A273:A274"/>
    <mergeCell ref="B273:B274"/>
    <mergeCell ref="C273:D273"/>
    <mergeCell ref="E273:E274"/>
    <mergeCell ref="F273:F274"/>
    <mergeCell ref="G273:G274"/>
    <mergeCell ref="H210:H211"/>
    <mergeCell ref="I210:I211"/>
    <mergeCell ref="A249:A250"/>
    <mergeCell ref="B249:B250"/>
    <mergeCell ref="C249:D249"/>
    <mergeCell ref="E249:E250"/>
    <mergeCell ref="F249:F250"/>
    <mergeCell ref="G249:G250"/>
    <mergeCell ref="H249:H250"/>
    <mergeCell ref="I249:I250"/>
    <mergeCell ref="A210:A211"/>
    <mergeCell ref="B210:B211"/>
    <mergeCell ref="C210:D210"/>
    <mergeCell ref="E210:E211"/>
    <mergeCell ref="F210:F211"/>
    <mergeCell ref="G210:G211"/>
    <mergeCell ref="H144:H145"/>
    <mergeCell ref="I144:I145"/>
    <mergeCell ref="A171:A172"/>
    <mergeCell ref="B171:B172"/>
    <mergeCell ref="C171:D171"/>
    <mergeCell ref="E171:E172"/>
    <mergeCell ref="F171:F172"/>
    <mergeCell ref="G171:G172"/>
    <mergeCell ref="H171:H172"/>
    <mergeCell ref="I171:I172"/>
    <mergeCell ref="A144:A145"/>
    <mergeCell ref="B144:B145"/>
    <mergeCell ref="C144:D144"/>
    <mergeCell ref="E144:E145"/>
    <mergeCell ref="F144:F145"/>
    <mergeCell ref="G144:G145"/>
    <mergeCell ref="H88:H89"/>
    <mergeCell ref="I88:I89"/>
    <mergeCell ref="A119:A120"/>
    <mergeCell ref="B119:B120"/>
    <mergeCell ref="C119:D119"/>
    <mergeCell ref="E119:E120"/>
    <mergeCell ref="F119:F120"/>
    <mergeCell ref="G119:G120"/>
    <mergeCell ref="H119:H120"/>
    <mergeCell ref="I119:I120"/>
    <mergeCell ref="A88:A89"/>
    <mergeCell ref="B88:B89"/>
    <mergeCell ref="C88:D88"/>
    <mergeCell ref="E88:E89"/>
    <mergeCell ref="F88:F89"/>
    <mergeCell ref="G88:G89"/>
    <mergeCell ref="H48:H49"/>
    <mergeCell ref="I48:I49"/>
    <mergeCell ref="A68:A69"/>
    <mergeCell ref="B68:B69"/>
    <mergeCell ref="C68:D68"/>
    <mergeCell ref="E68:E69"/>
    <mergeCell ref="F68:F69"/>
    <mergeCell ref="G68:G69"/>
    <mergeCell ref="H68:H69"/>
    <mergeCell ref="I68:I69"/>
    <mergeCell ref="A48:A49"/>
    <mergeCell ref="B48:B49"/>
    <mergeCell ref="C48:D48"/>
    <mergeCell ref="E48:E49"/>
    <mergeCell ref="F48:F49"/>
    <mergeCell ref="G48:G49"/>
    <mergeCell ref="H1:H2"/>
    <mergeCell ref="I1:I2"/>
    <mergeCell ref="A31:A32"/>
    <mergeCell ref="B31:B32"/>
    <mergeCell ref="C31:D31"/>
    <mergeCell ref="E31:E32"/>
    <mergeCell ref="F31:F32"/>
    <mergeCell ref="G31:G32"/>
    <mergeCell ref="H31:H32"/>
    <mergeCell ref="I31:I32"/>
    <mergeCell ref="A1:A2"/>
    <mergeCell ref="B1:B2"/>
    <mergeCell ref="C1:D1"/>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AGSB</vt:lpstr>
      <vt:lpstr>MUKB</vt:lpstr>
      <vt:lpstr>IKJA</vt:lpstr>
      <vt:lpstr>AHIK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agus sobarna</dc:creator>
  <cp:lastModifiedBy>agus sobarna</cp:lastModifiedBy>
  <dcterms:created xsi:type="dcterms:W3CDTF">2026-09-18T23:30:25Z</dcterms:created>
  <dcterms:modified xsi:type="dcterms:W3CDTF">2026-09-18T23:32:41Z</dcterms:modified>
</cp:coreProperties>
</file>